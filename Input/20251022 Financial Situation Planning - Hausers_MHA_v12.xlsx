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6503683fb0cae7/Sanja-Marc (shared)/Finances/"/>
    </mc:Choice>
  </mc:AlternateContent>
  <xr:revisionPtr revIDLastSave="7" documentId="8_{FDEE60DE-5358-4934-A4AD-58A1657127C0}" xr6:coauthVersionLast="47" xr6:coauthVersionMax="47" xr10:uidLastSave="{0885E112-FFB7-4809-A4BF-CF219C9DA9E9}"/>
  <bookViews>
    <workbookView xWindow="-120" yWindow="-120" windowWidth="29040" windowHeight="15720" xr2:uid="{1899B810-66EA-47B8-B530-31FD9B1CB9A9}"/>
  </bookViews>
  <sheets>
    <sheet name="CashFlow" sheetId="1" r:id="rId1"/>
    <sheet name="Sanja Deb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M17" i="1" l="1"/>
  <c r="CI16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71" i="1"/>
  <c r="CK20" i="1"/>
  <c r="CI28" i="1"/>
  <c r="CJ28" i="1" s="1"/>
  <c r="CK28" i="1" s="1"/>
  <c r="CL28" i="1" s="1"/>
  <c r="CM28" i="1" s="1"/>
  <c r="CN28" i="1" s="1"/>
  <c r="CO28" i="1" s="1"/>
  <c r="CP28" i="1" s="1"/>
  <c r="CQ28" i="1" s="1"/>
  <c r="CR28" i="1" s="1"/>
  <c r="CS28" i="1" s="1"/>
  <c r="CT28" i="1" s="1"/>
  <c r="CU28" i="1" s="1"/>
  <c r="CV28" i="1" s="1"/>
  <c r="CW28" i="1" s="1"/>
  <c r="CX28" i="1" s="1"/>
  <c r="CY28" i="1" s="1"/>
  <c r="CZ28" i="1" s="1"/>
  <c r="DA28" i="1" s="1"/>
  <c r="DB28" i="1" s="1"/>
  <c r="DC28" i="1" s="1"/>
  <c r="DD28" i="1" s="1"/>
  <c r="DE28" i="1" s="1"/>
  <c r="DF28" i="1" s="1"/>
  <c r="DG28" i="1" s="1"/>
  <c r="DH28" i="1" s="1"/>
  <c r="CZ64" i="1"/>
  <c r="CO64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BY26" i="1"/>
  <c r="CF3" i="1"/>
  <c r="CG26" i="1"/>
  <c r="CF64" i="1"/>
  <c r="CC64" i="1"/>
  <c r="CL20" i="1"/>
  <c r="CM20" i="1" s="1"/>
  <c r="CN20" i="1" s="1"/>
  <c r="CO20" i="1" s="1"/>
  <c r="CP20" i="1" s="1"/>
  <c r="CQ20" i="1" s="1"/>
  <c r="CR20" i="1" s="1"/>
  <c r="CS20" i="1" s="1"/>
  <c r="CT20" i="1" s="1"/>
  <c r="CU20" i="1" s="1"/>
  <c r="CV20" i="1" s="1"/>
  <c r="CW20" i="1" s="1"/>
  <c r="CE20" i="1"/>
  <c r="CB17" i="1"/>
  <c r="CG16" i="1"/>
  <c r="BP3" i="1"/>
  <c r="BO20" i="1"/>
  <c r="CX20" i="1" l="1"/>
  <c r="CY20" i="1" s="1"/>
  <c r="CZ20" i="1" s="1"/>
  <c r="DA20" i="1" s="1"/>
  <c r="DB20" i="1" s="1"/>
  <c r="DC20" i="1" s="1"/>
  <c r="DD20" i="1" s="1"/>
  <c r="DE20" i="1" s="1"/>
  <c r="DF20" i="1" s="1"/>
  <c r="DG20" i="1" s="1"/>
  <c r="DH20" i="1" s="1"/>
  <c r="BR16" i="1"/>
  <c r="BS16" i="1" s="1"/>
  <c r="BO63" i="1"/>
  <c r="BO59" i="1"/>
  <c r="BO24" i="1"/>
  <c r="CL18" i="1"/>
  <c r="CM18" i="1" s="1"/>
  <c r="CN18" i="1" s="1"/>
  <c r="CO18" i="1" s="1"/>
  <c r="CP18" i="1" s="1"/>
  <c r="CQ18" i="1" s="1"/>
  <c r="CR18" i="1" s="1"/>
  <c r="CS18" i="1" s="1"/>
  <c r="CT18" i="1" s="1"/>
  <c r="CU18" i="1" s="1"/>
  <c r="CV18" i="1" s="1"/>
  <c r="CW18" i="1" s="1"/>
  <c r="CX18" i="1" s="1"/>
  <c r="CY18" i="1" s="1"/>
  <c r="CZ18" i="1" s="1"/>
  <c r="DA18" i="1" s="1"/>
  <c r="DB18" i="1" s="1"/>
  <c r="DC18" i="1" s="1"/>
  <c r="DD18" i="1" s="1"/>
  <c r="DE18" i="1" s="1"/>
  <c r="DF18" i="1" s="1"/>
  <c r="DG18" i="1" s="1"/>
  <c r="DH18" i="1" s="1"/>
  <c r="CV11" i="1"/>
  <c r="CU11" i="1"/>
  <c r="CT11" i="1"/>
  <c r="CS11" i="1"/>
  <c r="CR11" i="1"/>
  <c r="CQ11" i="1"/>
  <c r="CP11" i="1"/>
  <c r="CO11" i="1"/>
  <c r="CN11" i="1"/>
  <c r="CM11" i="1"/>
  <c r="CL11" i="1"/>
  <c r="CK11" i="1"/>
  <c r="BT26" i="1"/>
  <c r="BP26" i="1"/>
  <c r="CE60" i="1"/>
  <c r="BD58" i="1"/>
  <c r="BF64" i="1"/>
  <c r="BE64" i="1"/>
  <c r="BN3" i="1"/>
  <c r="BD26" i="1"/>
  <c r="BA51" i="1"/>
  <c r="BB51" i="1" s="1"/>
  <c r="BC51" i="1" s="1"/>
  <c r="BD51" i="1" s="1"/>
  <c r="BE51" i="1" s="1"/>
  <c r="BF51" i="1" s="1"/>
  <c r="BG51" i="1" s="1"/>
  <c r="BH51" i="1" s="1"/>
  <c r="BI51" i="1" s="1"/>
  <c r="BJ51" i="1" s="1"/>
  <c r="BK51" i="1" s="1"/>
  <c r="BL51" i="1" s="1"/>
  <c r="BM51" i="1" s="1"/>
  <c r="BN51" i="1" s="1"/>
  <c r="BO51" i="1" s="1"/>
  <c r="BP51" i="1" s="1"/>
  <c r="BQ51" i="1" s="1"/>
  <c r="BR51" i="1" s="1"/>
  <c r="BS51" i="1" s="1"/>
  <c r="BT51" i="1" s="1"/>
  <c r="BU51" i="1" s="1"/>
  <c r="BV51" i="1" s="1"/>
  <c r="BW51" i="1" s="1"/>
  <c r="BX51" i="1" s="1"/>
  <c r="BY51" i="1" s="1"/>
  <c r="BA50" i="1"/>
  <c r="BB50" i="1" s="1"/>
  <c r="BC50" i="1" s="1"/>
  <c r="BD50" i="1" s="1"/>
  <c r="BE50" i="1" s="1"/>
  <c r="BF50" i="1" s="1"/>
  <c r="BG50" i="1" s="1"/>
  <c r="BH50" i="1" s="1"/>
  <c r="BI50" i="1" s="1"/>
  <c r="BJ50" i="1" s="1"/>
  <c r="BK50" i="1" s="1"/>
  <c r="BL50" i="1" s="1"/>
  <c r="BM50" i="1" s="1"/>
  <c r="BY11" i="1"/>
  <c r="BM11" i="1"/>
  <c r="BV64" i="1"/>
  <c r="BN18" i="1"/>
  <c r="BO18" i="1" s="1"/>
  <c r="BP18" i="1" s="1"/>
  <c r="BQ18" i="1" s="1"/>
  <c r="BR18" i="1" s="1"/>
  <c r="BS18" i="1" s="1"/>
  <c r="BT18" i="1" s="1"/>
  <c r="BU18" i="1" s="1"/>
  <c r="BV18" i="1" s="1"/>
  <c r="BW18" i="1" s="1"/>
  <c r="BX18" i="1" s="1"/>
  <c r="BX11" i="1"/>
  <c r="BW11" i="1"/>
  <c r="BV11" i="1"/>
  <c r="BU11" i="1"/>
  <c r="BT11" i="1"/>
  <c r="BS11" i="1"/>
  <c r="BR11" i="1"/>
  <c r="BQ11" i="1"/>
  <c r="BP11" i="1"/>
  <c r="BO11" i="1"/>
  <c r="BN11" i="1"/>
  <c r="BC3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BA3" i="1"/>
  <c r="BN50" i="1" l="1"/>
  <c r="D2" i="2"/>
  <c r="AZ64" i="1"/>
  <c r="AZ19" i="1"/>
  <c r="AY19" i="1"/>
  <c r="AM16" i="1"/>
  <c r="AS53" i="1"/>
  <c r="AN63" i="1"/>
  <c r="AQ63" i="1"/>
  <c r="BO50" i="1" l="1"/>
  <c r="AP63" i="1"/>
  <c r="AZ11" i="1"/>
  <c r="BZ11" i="1"/>
  <c r="CA11" i="1"/>
  <c r="CB11" i="1"/>
  <c r="CC11" i="1"/>
  <c r="CD11" i="1"/>
  <c r="CE11" i="1"/>
  <c r="CF11" i="1"/>
  <c r="CG11" i="1"/>
  <c r="CH11" i="1"/>
  <c r="CI11" i="1"/>
  <c r="CJ11" i="1"/>
  <c r="BZ51" i="1"/>
  <c r="CA51" i="1" s="1"/>
  <c r="CB51" i="1" s="1"/>
  <c r="CC51" i="1" s="1"/>
  <c r="CD51" i="1" s="1"/>
  <c r="CE51" i="1" s="1"/>
  <c r="CF51" i="1" s="1"/>
  <c r="CG51" i="1" s="1"/>
  <c r="CH51" i="1" s="1"/>
  <c r="CI51" i="1" s="1"/>
  <c r="CJ51" i="1" s="1"/>
  <c r="CK51" i="1" s="1"/>
  <c r="CL51" i="1" s="1"/>
  <c r="CM51" i="1" s="1"/>
  <c r="CN51" i="1" s="1"/>
  <c r="CO51" i="1" s="1"/>
  <c r="CP51" i="1" s="1"/>
  <c r="CQ51" i="1" s="1"/>
  <c r="CR51" i="1" s="1"/>
  <c r="CS51" i="1" s="1"/>
  <c r="CT51" i="1" s="1"/>
  <c r="CU51" i="1" s="1"/>
  <c r="CV51" i="1" s="1"/>
  <c r="CW51" i="1" s="1"/>
  <c r="CX51" i="1" s="1"/>
  <c r="CY51" i="1" s="1"/>
  <c r="CZ51" i="1" s="1"/>
  <c r="DA51" i="1" s="1"/>
  <c r="DB51" i="1" s="1"/>
  <c r="DC51" i="1" s="1"/>
  <c r="DD51" i="1" s="1"/>
  <c r="DE51" i="1" s="1"/>
  <c r="DF51" i="1" s="1"/>
  <c r="DG51" i="1" s="1"/>
  <c r="DH51" i="1" s="1"/>
  <c r="AM47" i="1"/>
  <c r="AM19" i="1"/>
  <c r="AL56" i="1"/>
  <c r="AK16" i="1"/>
  <c r="AM3" i="1"/>
  <c r="AE47" i="1"/>
  <c r="AF47" i="1" s="1"/>
  <c r="AG3" i="1"/>
  <c r="AH64" i="1"/>
  <c r="AG64" i="1"/>
  <c r="BP50" i="1" l="1"/>
  <c r="BQ50" i="1" s="1"/>
  <c r="BR50" i="1" s="1"/>
  <c r="BS50" i="1" s="1"/>
  <c r="BT50" i="1" s="1"/>
  <c r="BU50" i="1" s="1"/>
  <c r="BV50" i="1" s="1"/>
  <c r="BW50" i="1" s="1"/>
  <c r="BX50" i="1" s="1"/>
  <c r="BY50" i="1" s="1"/>
  <c r="BZ50" i="1" s="1"/>
  <c r="CA50" i="1" s="1"/>
  <c r="CB50" i="1" s="1"/>
  <c r="CC50" i="1" s="1"/>
  <c r="CD50" i="1" s="1"/>
  <c r="CE50" i="1" s="1"/>
  <c r="CF50" i="1" s="1"/>
  <c r="CG50" i="1" s="1"/>
  <c r="CH50" i="1" s="1"/>
  <c r="CI50" i="1" s="1"/>
  <c r="CJ50" i="1" s="1"/>
  <c r="CK50" i="1" s="1"/>
  <c r="CL50" i="1" s="1"/>
  <c r="CM50" i="1" s="1"/>
  <c r="CN50" i="1" s="1"/>
  <c r="CO50" i="1" s="1"/>
  <c r="CP50" i="1" s="1"/>
  <c r="CQ50" i="1" s="1"/>
  <c r="CR50" i="1" s="1"/>
  <c r="CS50" i="1" s="1"/>
  <c r="CT50" i="1" s="1"/>
  <c r="CU50" i="1" s="1"/>
  <c r="CV50" i="1" s="1"/>
  <c r="CW50" i="1" s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A26" i="1"/>
  <c r="AA42" i="1"/>
  <c r="AB42" i="1" s="1"/>
  <c r="AC42" i="1" s="1"/>
  <c r="AD42" i="1" s="1"/>
  <c r="AE42" i="1" s="1"/>
  <c r="AF42" i="1" s="1"/>
  <c r="AG42" i="1" s="1"/>
  <c r="AH42" i="1" s="1"/>
  <c r="AI42" i="1" s="1"/>
  <c r="AJ42" i="1" s="1"/>
  <c r="AK42" i="1" s="1"/>
  <c r="AL42" i="1" s="1"/>
  <c r="AM42" i="1" s="1"/>
  <c r="AN42" i="1" s="1"/>
  <c r="U64" i="1"/>
  <c r="E32" i="1"/>
  <c r="G32" i="1" s="1"/>
  <c r="I32" i="1" s="1"/>
  <c r="K32" i="1" s="1"/>
  <c r="F32" i="1"/>
  <c r="H32" i="1" s="1"/>
  <c r="J32" i="1" s="1"/>
  <c r="M32" i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AV32" i="1" s="1"/>
  <c r="AW32" i="1" s="1"/>
  <c r="AX32" i="1" s="1"/>
  <c r="AY32" i="1" s="1"/>
  <c r="AZ32" i="1" s="1"/>
  <c r="BA32" i="1" s="1"/>
  <c r="BB32" i="1" s="1"/>
  <c r="BC32" i="1" s="1"/>
  <c r="BD32" i="1" s="1"/>
  <c r="BE32" i="1" s="1"/>
  <c r="BF32" i="1" s="1"/>
  <c r="BG32" i="1" s="1"/>
  <c r="BH32" i="1" s="1"/>
  <c r="BI32" i="1" s="1"/>
  <c r="BJ32" i="1" s="1"/>
  <c r="BK32" i="1" s="1"/>
  <c r="BL32" i="1" s="1"/>
  <c r="Z3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B26" i="1" l="1"/>
  <c r="CX50" i="1"/>
  <c r="BP32" i="1"/>
  <c r="BQ32" i="1" s="1"/>
  <c r="BR32" i="1" s="1"/>
  <c r="BS32" i="1" s="1"/>
  <c r="BT32" i="1" s="1"/>
  <c r="BU32" i="1" s="1"/>
  <c r="BV32" i="1" s="1"/>
  <c r="BW32" i="1" s="1"/>
  <c r="BX32" i="1" s="1"/>
  <c r="BY32" i="1" s="1"/>
  <c r="BZ32" i="1" s="1"/>
  <c r="CA32" i="1" s="1"/>
  <c r="CB32" i="1" s="1"/>
  <c r="CC32" i="1" s="1"/>
  <c r="CD32" i="1" s="1"/>
  <c r="CE32" i="1" s="1"/>
  <c r="CF32" i="1" s="1"/>
  <c r="CG32" i="1" s="1"/>
  <c r="CH32" i="1" s="1"/>
  <c r="CI32" i="1" s="1"/>
  <c r="CJ32" i="1" s="1"/>
  <c r="AO42" i="1"/>
  <c r="AP42" i="1" s="1"/>
  <c r="AQ42" i="1" s="1"/>
  <c r="AR42" i="1" s="1"/>
  <c r="AS42" i="1" s="1"/>
  <c r="AT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G42" i="1" s="1"/>
  <c r="BH42" i="1" s="1"/>
  <c r="BI42" i="1" s="1"/>
  <c r="BJ42" i="1" s="1"/>
  <c r="BK42" i="1" s="1"/>
  <c r="BL42" i="1" s="1"/>
  <c r="C7" i="1"/>
  <c r="D6" i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25" i="1" s="1"/>
  <c r="CY50" i="1" l="1"/>
  <c r="CZ50" i="1" s="1"/>
  <c r="DA50" i="1" s="1"/>
  <c r="AC26" i="1"/>
  <c r="CK32" i="1"/>
  <c r="CL32" i="1" s="1"/>
  <c r="CM32" i="1" s="1"/>
  <c r="CN32" i="1" s="1"/>
  <c r="CO32" i="1" s="1"/>
  <c r="CP32" i="1" s="1"/>
  <c r="CQ32" i="1" s="1"/>
  <c r="CR32" i="1" s="1"/>
  <c r="CS32" i="1" s="1"/>
  <c r="CT32" i="1" s="1"/>
  <c r="CU32" i="1" s="1"/>
  <c r="CV32" i="1" s="1"/>
  <c r="CW32" i="1" s="1"/>
  <c r="CX32" i="1" s="1"/>
  <c r="CY32" i="1" s="1"/>
  <c r="CZ32" i="1" s="1"/>
  <c r="DA32" i="1" s="1"/>
  <c r="DB32" i="1" s="1"/>
  <c r="DC32" i="1" s="1"/>
  <c r="DD32" i="1" s="1"/>
  <c r="DE32" i="1" s="1"/>
  <c r="DF32" i="1" s="1"/>
  <c r="DG32" i="1" s="1"/>
  <c r="DH32" i="1" s="1"/>
  <c r="BP42" i="1"/>
  <c r="BQ42" i="1" s="1"/>
  <c r="BR42" i="1" s="1"/>
  <c r="BS42" i="1" s="1"/>
  <c r="BT42" i="1" s="1"/>
  <c r="BU42" i="1" s="1"/>
  <c r="BV42" i="1" s="1"/>
  <c r="BW42" i="1" s="1"/>
  <c r="BX42" i="1" s="1"/>
  <c r="BY42" i="1" s="1"/>
  <c r="BZ42" i="1" s="1"/>
  <c r="CA42" i="1" s="1"/>
  <c r="CB42" i="1" s="1"/>
  <c r="CC42" i="1" s="1"/>
  <c r="CD42" i="1" s="1"/>
  <c r="CE42" i="1" s="1"/>
  <c r="CF42" i="1" s="1"/>
  <c r="CG42" i="1" s="1"/>
  <c r="CH42" i="1" s="1"/>
  <c r="CI42" i="1" s="1"/>
  <c r="CJ42" i="1" s="1"/>
  <c r="U6" i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M46" i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AB46" i="1" s="1"/>
  <c r="AC46" i="1" s="1"/>
  <c r="AD46" i="1" s="1"/>
  <c r="AE46" i="1" s="1"/>
  <c r="AF46" i="1" s="1"/>
  <c r="AG46" i="1" s="1"/>
  <c r="AH46" i="1" s="1"/>
  <c r="AI46" i="1" s="1"/>
  <c r="AK46" i="1" s="1"/>
  <c r="AL46" i="1" s="1"/>
  <c r="AM46" i="1" s="1"/>
  <c r="AN46" i="1" s="1"/>
  <c r="AO46" i="1" s="1"/>
  <c r="AP46" i="1" s="1"/>
  <c r="AQ46" i="1" s="1"/>
  <c r="AR46" i="1" s="1"/>
  <c r="AS46" i="1" s="1"/>
  <c r="AT46" i="1" s="1"/>
  <c r="AU46" i="1" s="1"/>
  <c r="AV46" i="1" s="1"/>
  <c r="AW46" i="1" s="1"/>
  <c r="AX46" i="1" s="1"/>
  <c r="AY46" i="1" s="1"/>
  <c r="AZ46" i="1" s="1"/>
  <c r="M35" i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M44" i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G44" i="1" s="1"/>
  <c r="BH44" i="1" s="1"/>
  <c r="BI44" i="1" s="1"/>
  <c r="BJ44" i="1" s="1"/>
  <c r="BK44" i="1" s="1"/>
  <c r="BL44" i="1" s="1"/>
  <c r="M47" i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AA47" i="1" s="1"/>
  <c r="AB47" i="1" s="1"/>
  <c r="AG47" i="1" s="1"/>
  <c r="AH47" i="1" s="1"/>
  <c r="AI47" i="1" s="1"/>
  <c r="AJ47" i="1" s="1"/>
  <c r="AK47" i="1" s="1"/>
  <c r="AN47" i="1" s="1"/>
  <c r="AO47" i="1" s="1"/>
  <c r="AP47" i="1" s="1"/>
  <c r="AQ47" i="1" s="1"/>
  <c r="AR47" i="1" s="1"/>
  <c r="AS47" i="1" s="1"/>
  <c r="AT47" i="1" s="1"/>
  <c r="AU47" i="1" s="1"/>
  <c r="AV47" i="1" s="1"/>
  <c r="AW47" i="1" s="1"/>
  <c r="AX47" i="1" s="1"/>
  <c r="AY47" i="1" s="1"/>
  <c r="AZ47" i="1" s="1"/>
  <c r="BA47" i="1" s="1"/>
  <c r="BB47" i="1" s="1"/>
  <c r="BC47" i="1" s="1"/>
  <c r="BD47" i="1" s="1"/>
  <c r="BE47" i="1" s="1"/>
  <c r="BF47" i="1" s="1"/>
  <c r="BG47" i="1" s="1"/>
  <c r="BH47" i="1" s="1"/>
  <c r="BI47" i="1" s="1"/>
  <c r="BJ47" i="1" s="1"/>
  <c r="BK47" i="1" s="1"/>
  <c r="BL47" i="1" s="1"/>
  <c r="M50" i="1"/>
  <c r="M51" i="1"/>
  <c r="E47" i="1"/>
  <c r="G47" i="1" s="1"/>
  <c r="I47" i="1" s="1"/>
  <c r="K47" i="1" s="1"/>
  <c r="F47" i="1"/>
  <c r="H47" i="1" s="1"/>
  <c r="J47" i="1" s="1"/>
  <c r="E44" i="1"/>
  <c r="G44" i="1" s="1"/>
  <c r="I44" i="1" s="1"/>
  <c r="K44" i="1" s="1"/>
  <c r="F44" i="1"/>
  <c r="H44" i="1" s="1"/>
  <c r="J44" i="1" s="1"/>
  <c r="E35" i="1"/>
  <c r="G35" i="1" s="1"/>
  <c r="I35" i="1" s="1"/>
  <c r="K35" i="1" s="1"/>
  <c r="F35" i="1"/>
  <c r="H35" i="1" s="1"/>
  <c r="J35" i="1" s="1"/>
  <c r="E46" i="1"/>
  <c r="G46" i="1" s="1"/>
  <c r="I46" i="1" s="1"/>
  <c r="K46" i="1" s="1"/>
  <c r="F46" i="1"/>
  <c r="H46" i="1" s="1"/>
  <c r="J46" i="1" s="1"/>
  <c r="F27" i="1"/>
  <c r="E18" i="1"/>
  <c r="F18" i="1" s="1"/>
  <c r="G18" i="1" s="1"/>
  <c r="H18" i="1" s="1"/>
  <c r="I18" i="1" s="1"/>
  <c r="J18" i="1" s="1"/>
  <c r="E51" i="1"/>
  <c r="F51" i="1" s="1"/>
  <c r="G51" i="1" s="1"/>
  <c r="H51" i="1" s="1"/>
  <c r="I51" i="1" s="1"/>
  <c r="J51" i="1" s="1"/>
  <c r="H27" i="1" l="1"/>
  <c r="AD26" i="1"/>
  <c r="DB50" i="1"/>
  <c r="DC50" i="1" s="1"/>
  <c r="DD50" i="1"/>
  <c r="CK42" i="1"/>
  <c r="CL42" i="1" s="1"/>
  <c r="CM42" i="1" s="1"/>
  <c r="CN42" i="1" s="1"/>
  <c r="CO42" i="1" s="1"/>
  <c r="CP42" i="1" s="1"/>
  <c r="CQ42" i="1" s="1"/>
  <c r="CR42" i="1" s="1"/>
  <c r="CS42" i="1" s="1"/>
  <c r="CT42" i="1" s="1"/>
  <c r="CU42" i="1" s="1"/>
  <c r="CV42" i="1" s="1"/>
  <c r="CW42" i="1" s="1"/>
  <c r="CX42" i="1" s="1"/>
  <c r="CY42" i="1" s="1"/>
  <c r="CZ42" i="1" s="1"/>
  <c r="DA42" i="1" s="1"/>
  <c r="DB42" i="1" s="1"/>
  <c r="DC42" i="1" s="1"/>
  <c r="DD42" i="1" s="1"/>
  <c r="DE42" i="1" s="1"/>
  <c r="DF42" i="1" s="1"/>
  <c r="DG42" i="1" s="1"/>
  <c r="DH42" i="1" s="1"/>
  <c r="BA46" i="1"/>
  <c r="BB46" i="1" s="1"/>
  <c r="BC46" i="1" s="1"/>
  <c r="BD46" i="1" s="1"/>
  <c r="BE46" i="1" s="1"/>
  <c r="BF46" i="1" s="1"/>
  <c r="BG46" i="1" s="1"/>
  <c r="BH46" i="1" s="1"/>
  <c r="BI46" i="1" s="1"/>
  <c r="BJ46" i="1" s="1"/>
  <c r="BK46" i="1" s="1"/>
  <c r="BL46" i="1" s="1"/>
  <c r="BP46" i="1" s="1"/>
  <c r="BV44" i="1"/>
  <c r="BW44" i="1" s="1"/>
  <c r="BX44" i="1" s="1"/>
  <c r="BP47" i="1"/>
  <c r="BQ47" i="1" s="1"/>
  <c r="BR47" i="1" s="1"/>
  <c r="BS47" i="1" s="1"/>
  <c r="BT47" i="1" s="1"/>
  <c r="BU47" i="1" s="1"/>
  <c r="BV47" i="1" s="1"/>
  <c r="BW47" i="1" s="1"/>
  <c r="BX47" i="1" s="1"/>
  <c r="BQ26" i="1"/>
  <c r="AO6" i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BI6" i="1" s="1"/>
  <c r="BJ6" i="1" s="1"/>
  <c r="BK6" i="1" s="1"/>
  <c r="BL6" i="1" s="1"/>
  <c r="BM6" i="1" s="1"/>
  <c r="AB35" i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V35" i="1" s="1"/>
  <c r="AW35" i="1" s="1"/>
  <c r="AX35" i="1" s="1"/>
  <c r="AY35" i="1" s="1"/>
  <c r="AZ35" i="1" s="1"/>
  <c r="BA35" i="1" s="1"/>
  <c r="BB35" i="1" s="1"/>
  <c r="BC35" i="1" s="1"/>
  <c r="BD35" i="1" s="1"/>
  <c r="BE35" i="1" s="1"/>
  <c r="BF35" i="1" s="1"/>
  <c r="BG35" i="1" s="1"/>
  <c r="BH35" i="1" s="1"/>
  <c r="BI35" i="1" s="1"/>
  <c r="BJ35" i="1" s="1"/>
  <c r="BK35" i="1" s="1"/>
  <c r="BL35" i="1" s="1"/>
  <c r="K18" i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N51" i="1"/>
  <c r="O51" i="1" s="1"/>
  <c r="P51" i="1" s="1"/>
  <c r="Q51" i="1" s="1"/>
  <c r="R51" i="1" s="1"/>
  <c r="S51" i="1" s="1"/>
  <c r="T51" i="1" s="1"/>
  <c r="V51" i="1" s="1"/>
  <c r="W51" i="1" s="1"/>
  <c r="X51" i="1" s="1"/>
  <c r="Y51" i="1" s="1"/>
  <c r="Z51" i="1" s="1"/>
  <c r="AA51" i="1" s="1"/>
  <c r="AB51" i="1" s="1"/>
  <c r="AO51" i="1" s="1"/>
  <c r="AP51" i="1" s="1"/>
  <c r="AQ51" i="1" s="1"/>
  <c r="AR51" i="1" s="1"/>
  <c r="AS51" i="1" s="1"/>
  <c r="AT51" i="1" s="1"/>
  <c r="AU51" i="1" s="1"/>
  <c r="AV51" i="1" s="1"/>
  <c r="AW51" i="1" s="1"/>
  <c r="AX51" i="1" s="1"/>
  <c r="AY51" i="1" s="1"/>
  <c r="N27" i="1"/>
  <c r="BZ47" i="1" l="1"/>
  <c r="BY71" i="1"/>
  <c r="BP71" i="1"/>
  <c r="BR26" i="1"/>
  <c r="CH47" i="1"/>
  <c r="CI47" i="1" s="1"/>
  <c r="CJ47" i="1" s="1"/>
  <c r="P27" i="1"/>
  <c r="AE26" i="1"/>
  <c r="J27" i="1"/>
  <c r="DE50" i="1"/>
  <c r="CK47" i="1"/>
  <c r="CL47" i="1" s="1"/>
  <c r="CM47" i="1" s="1"/>
  <c r="CN47" i="1" s="1"/>
  <c r="CO47" i="1" s="1"/>
  <c r="CP47" i="1" s="1"/>
  <c r="CQ47" i="1" s="1"/>
  <c r="CR47" i="1" s="1"/>
  <c r="CS47" i="1" s="1"/>
  <c r="CT47" i="1" s="1"/>
  <c r="CU47" i="1" s="1"/>
  <c r="CV47" i="1" s="1"/>
  <c r="CW47" i="1" s="1"/>
  <c r="CX47" i="1" s="1"/>
  <c r="CY47" i="1" s="1"/>
  <c r="CZ47" i="1" s="1"/>
  <c r="DA47" i="1" s="1"/>
  <c r="DB47" i="1" s="1"/>
  <c r="DC47" i="1" s="1"/>
  <c r="DD47" i="1" s="1"/>
  <c r="DE47" i="1" s="1"/>
  <c r="DF47" i="1" s="1"/>
  <c r="DG47" i="1" s="1"/>
  <c r="DH47" i="1" s="1"/>
  <c r="BQ46" i="1"/>
  <c r="BN6" i="1"/>
  <c r="BO6" i="1" s="1"/>
  <c r="BP6" i="1" s="1"/>
  <c r="BQ6" i="1" s="1"/>
  <c r="BR6" i="1" s="1"/>
  <c r="BS6" i="1" s="1"/>
  <c r="BT6" i="1" s="1"/>
  <c r="BU6" i="1" s="1"/>
  <c r="BV6" i="1" s="1"/>
  <c r="BW6" i="1" s="1"/>
  <c r="BX6" i="1" s="1"/>
  <c r="BY6" i="1" s="1"/>
  <c r="BZ6" i="1" s="1"/>
  <c r="CA6" i="1" s="1"/>
  <c r="CB6" i="1" s="1"/>
  <c r="CC6" i="1" s="1"/>
  <c r="CD6" i="1" s="1"/>
  <c r="CE6" i="1" s="1"/>
  <c r="CF6" i="1" s="1"/>
  <c r="CG6" i="1" s="1"/>
  <c r="CH6" i="1" s="1"/>
  <c r="CI6" i="1" s="1"/>
  <c r="CJ6" i="1" s="1"/>
  <c r="CK6" i="1" s="1"/>
  <c r="CL6" i="1" s="1"/>
  <c r="CM6" i="1" s="1"/>
  <c r="CN6" i="1" s="1"/>
  <c r="CO6" i="1" s="1"/>
  <c r="CP6" i="1" s="1"/>
  <c r="CQ6" i="1" s="1"/>
  <c r="CR6" i="1" s="1"/>
  <c r="CS6" i="1" s="1"/>
  <c r="CT6" i="1" s="1"/>
  <c r="CU6" i="1" s="1"/>
  <c r="CV6" i="1" s="1"/>
  <c r="CW6" i="1" s="1"/>
  <c r="CX6" i="1" s="1"/>
  <c r="CY6" i="1" s="1"/>
  <c r="CZ6" i="1" s="1"/>
  <c r="DA6" i="1" s="1"/>
  <c r="DB6" i="1" s="1"/>
  <c r="DC6" i="1" s="1"/>
  <c r="DD6" i="1" s="1"/>
  <c r="DE6" i="1" s="1"/>
  <c r="DF6" i="1" s="1"/>
  <c r="DG6" i="1" s="1"/>
  <c r="DH6" i="1" s="1"/>
  <c r="BP35" i="1"/>
  <c r="BQ35" i="1" s="1"/>
  <c r="BR35" i="1" s="1"/>
  <c r="BS35" i="1" s="1"/>
  <c r="BT35" i="1" s="1"/>
  <c r="BU35" i="1" s="1"/>
  <c r="BV35" i="1" s="1"/>
  <c r="BW35" i="1" s="1"/>
  <c r="BX35" i="1" s="1"/>
  <c r="BZ35" i="1" s="1"/>
  <c r="CA35" i="1" s="1"/>
  <c r="CB35" i="1" s="1"/>
  <c r="CC35" i="1" s="1"/>
  <c r="CD35" i="1" s="1"/>
  <c r="CE35" i="1" s="1"/>
  <c r="CF35" i="1" s="1"/>
  <c r="CG35" i="1" s="1"/>
  <c r="CH35" i="1" s="1"/>
  <c r="CI35" i="1" s="1"/>
  <c r="CJ35" i="1" s="1"/>
  <c r="AI18" i="1"/>
  <c r="AJ18" i="1" s="1"/>
  <c r="AK18" i="1" s="1"/>
  <c r="AL18" i="1" s="1"/>
  <c r="AM18" i="1" s="1"/>
  <c r="AN18" i="1" s="1"/>
  <c r="E4" i="1"/>
  <c r="E15" i="1" s="1"/>
  <c r="C15" i="1"/>
  <c r="D15" i="1"/>
  <c r="C69" i="1"/>
  <c r="D69" i="1"/>
  <c r="D5" i="1" s="1"/>
  <c r="D7" i="1" s="1"/>
  <c r="E50" i="1"/>
  <c r="F50" i="1" s="1"/>
  <c r="K50" i="1"/>
  <c r="R16" i="1"/>
  <c r="S16" i="1" s="1"/>
  <c r="T16" i="1" s="1"/>
  <c r="U16" i="1" s="1"/>
  <c r="V16" i="1" s="1"/>
  <c r="W16" i="1" s="1"/>
  <c r="X16" i="1" s="1"/>
  <c r="Y16" i="1" s="1"/>
  <c r="Z16" i="1" s="1"/>
  <c r="AA16" i="1" s="1"/>
  <c r="E27" i="1"/>
  <c r="CA47" i="1" l="1"/>
  <c r="BR46" i="1"/>
  <c r="BQ71" i="1"/>
  <c r="G50" i="1"/>
  <c r="H50" i="1" s="1"/>
  <c r="Q27" i="1"/>
  <c r="AF26" i="1"/>
  <c r="CH46" i="1"/>
  <c r="CI46" i="1" s="1"/>
  <c r="CJ46" i="1" s="1"/>
  <c r="CK46" i="1" s="1"/>
  <c r="CL46" i="1" s="1"/>
  <c r="CM46" i="1" s="1"/>
  <c r="CN46" i="1" s="1"/>
  <c r="CO46" i="1" s="1"/>
  <c r="CP46" i="1" s="1"/>
  <c r="CQ46" i="1" s="1"/>
  <c r="CR46" i="1" s="1"/>
  <c r="CS46" i="1" s="1"/>
  <c r="CT46" i="1" s="1"/>
  <c r="CU46" i="1" s="1"/>
  <c r="CV46" i="1" s="1"/>
  <c r="CW46" i="1" s="1"/>
  <c r="CX46" i="1" s="1"/>
  <c r="CY46" i="1" s="1"/>
  <c r="CZ46" i="1" s="1"/>
  <c r="DA46" i="1" s="1"/>
  <c r="DB46" i="1" s="1"/>
  <c r="DC46" i="1" s="1"/>
  <c r="DD46" i="1" s="1"/>
  <c r="DE46" i="1" s="1"/>
  <c r="DF46" i="1" s="1"/>
  <c r="DG46" i="1" s="1"/>
  <c r="DH46" i="1" s="1"/>
  <c r="BS26" i="1"/>
  <c r="DF50" i="1"/>
  <c r="CK35" i="1"/>
  <c r="CL35" i="1" s="1"/>
  <c r="CM35" i="1" s="1"/>
  <c r="CN35" i="1" s="1"/>
  <c r="CO35" i="1" s="1"/>
  <c r="CP35" i="1" s="1"/>
  <c r="CQ35" i="1" s="1"/>
  <c r="CR35" i="1" s="1"/>
  <c r="CS35" i="1" s="1"/>
  <c r="CT35" i="1" s="1"/>
  <c r="CU35" i="1" s="1"/>
  <c r="CV35" i="1" s="1"/>
  <c r="CW35" i="1" s="1"/>
  <c r="CX35" i="1" s="1"/>
  <c r="CY35" i="1" s="1"/>
  <c r="CZ35" i="1" s="1"/>
  <c r="DA35" i="1" s="1"/>
  <c r="DB35" i="1" s="1"/>
  <c r="DC35" i="1" s="1"/>
  <c r="DD35" i="1" s="1"/>
  <c r="DE35" i="1" s="1"/>
  <c r="DF35" i="1" s="1"/>
  <c r="DG35" i="1" s="1"/>
  <c r="DH35" i="1" s="1"/>
  <c r="AO18" i="1"/>
  <c r="AP18" i="1" s="1"/>
  <c r="AQ18" i="1" s="1"/>
  <c r="AB16" i="1"/>
  <c r="AC16" i="1" s="1"/>
  <c r="F4" i="1"/>
  <c r="G4" i="1" s="1"/>
  <c r="G15" i="1" s="1"/>
  <c r="G27" i="1"/>
  <c r="N50" i="1"/>
  <c r="Q11" i="1"/>
  <c r="CB47" i="1" l="1"/>
  <c r="BS46" i="1"/>
  <c r="BR71" i="1"/>
  <c r="BU26" i="1"/>
  <c r="O50" i="1"/>
  <c r="P50" i="1" s="1"/>
  <c r="I27" i="1"/>
  <c r="AG26" i="1"/>
  <c r="I50" i="1"/>
  <c r="DG50" i="1"/>
  <c r="H4" i="1"/>
  <c r="I4" i="1" s="1"/>
  <c r="F15" i="1"/>
  <c r="R11" i="1"/>
  <c r="E16" i="1"/>
  <c r="CC47" i="1" l="1"/>
  <c r="BT46" i="1"/>
  <c r="BS71" i="1"/>
  <c r="AH26" i="1"/>
  <c r="K27" i="1"/>
  <c r="Q50" i="1"/>
  <c r="BV26" i="1"/>
  <c r="DH50" i="1"/>
  <c r="AD16" i="1"/>
  <c r="H15" i="1"/>
  <c r="J4" i="1"/>
  <c r="I15" i="1"/>
  <c r="F16" i="1"/>
  <c r="E69" i="1"/>
  <c r="E5" i="1" s="1"/>
  <c r="E7" i="1" s="1"/>
  <c r="S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C11" i="1"/>
  <c r="CD47" i="1" l="1"/>
  <c r="BU46" i="1"/>
  <c r="BT71" i="1"/>
  <c r="BW26" i="1"/>
  <c r="AI26" i="1"/>
  <c r="R50" i="1"/>
  <c r="S50" i="1" s="1"/>
  <c r="T50" i="1" s="1"/>
  <c r="V50" i="1" s="1"/>
  <c r="W50" i="1" s="1"/>
  <c r="X50" i="1" s="1"/>
  <c r="Y50" i="1" s="1"/>
  <c r="Z50" i="1" s="1"/>
  <c r="AA50" i="1" s="1"/>
  <c r="AB50" i="1" s="1"/>
  <c r="AO50" i="1" s="1"/>
  <c r="AP50" i="1" s="1"/>
  <c r="AQ50" i="1" s="1"/>
  <c r="AR50" i="1" s="1"/>
  <c r="AS50" i="1" s="1"/>
  <c r="AT50" i="1" s="1"/>
  <c r="AU50" i="1" s="1"/>
  <c r="AV50" i="1" s="1"/>
  <c r="AW50" i="1" s="1"/>
  <c r="AX50" i="1" s="1"/>
  <c r="AY50" i="1" s="1"/>
  <c r="Q69" i="1"/>
  <c r="M27" i="1"/>
  <c r="AE16" i="1"/>
  <c r="K4" i="1"/>
  <c r="J15" i="1"/>
  <c r="G16" i="1"/>
  <c r="F69" i="1"/>
  <c r="F5" i="1" s="1"/>
  <c r="F7" i="1" s="1"/>
  <c r="C13" i="1"/>
  <c r="E13" i="1"/>
  <c r="D13" i="1"/>
  <c r="T11" i="1"/>
  <c r="CE47" i="1" l="1"/>
  <c r="BV46" i="1"/>
  <c r="BU71" i="1"/>
  <c r="O27" i="1"/>
  <c r="AJ26" i="1"/>
  <c r="BX26" i="1"/>
  <c r="AF16" i="1"/>
  <c r="L4" i="1"/>
  <c r="K15" i="1"/>
  <c r="H16" i="1"/>
  <c r="G69" i="1"/>
  <c r="G5" i="1" s="1"/>
  <c r="F13" i="1"/>
  <c r="U11" i="1"/>
  <c r="CF47" i="1" l="1"/>
  <c r="BW46" i="1"/>
  <c r="BV71" i="1"/>
  <c r="BZ26" i="1"/>
  <c r="AK26" i="1"/>
  <c r="CH26" i="1"/>
  <c r="G7" i="1"/>
  <c r="G13" i="1" s="1"/>
  <c r="L15" i="1"/>
  <c r="M4" i="1"/>
  <c r="I16" i="1"/>
  <c r="J16" i="1" s="1"/>
  <c r="H69" i="1"/>
  <c r="H5" i="1" s="1"/>
  <c r="R27" i="1"/>
  <c r="P69" i="1"/>
  <c r="V11" i="1"/>
  <c r="BX46" i="1" l="1"/>
  <c r="BW71" i="1"/>
  <c r="CI26" i="1"/>
  <c r="AL26" i="1"/>
  <c r="CA26" i="1"/>
  <c r="K16" i="1"/>
  <c r="J69" i="1"/>
  <c r="AH16" i="1"/>
  <c r="H7" i="1"/>
  <c r="H13" i="1" s="1"/>
  <c r="M15" i="1"/>
  <c r="N4" i="1"/>
  <c r="S27" i="1"/>
  <c r="R69" i="1"/>
  <c r="I69" i="1"/>
  <c r="I5" i="1" s="1"/>
  <c r="W11" i="1"/>
  <c r="BZ46" i="1" l="1"/>
  <c r="BX71" i="1"/>
  <c r="CB26" i="1"/>
  <c r="AM26" i="1"/>
  <c r="CJ26" i="1"/>
  <c r="L16" i="1"/>
  <c r="K69" i="1"/>
  <c r="AI16" i="1"/>
  <c r="J5" i="1"/>
  <c r="I7" i="1"/>
  <c r="I13" i="1" s="1"/>
  <c r="N15" i="1"/>
  <c r="O4" i="1"/>
  <c r="T27" i="1"/>
  <c r="S69" i="1"/>
  <c r="X11" i="1"/>
  <c r="CA46" i="1" l="1"/>
  <c r="BZ71" i="1"/>
  <c r="CK26" i="1"/>
  <c r="AN26" i="1"/>
  <c r="CC26" i="1"/>
  <c r="M16" i="1"/>
  <c r="L69" i="1"/>
  <c r="K5" i="1"/>
  <c r="J7" i="1"/>
  <c r="J13" i="1" s="1"/>
  <c r="O15" i="1"/>
  <c r="P4" i="1"/>
  <c r="U27" i="1"/>
  <c r="Y11" i="1"/>
  <c r="CB46" i="1" l="1"/>
  <c r="CA71" i="1"/>
  <c r="CD26" i="1"/>
  <c r="AO26" i="1"/>
  <c r="CL26" i="1"/>
  <c r="BZ18" i="1"/>
  <c r="CA18" i="1" s="1"/>
  <c r="N16" i="1"/>
  <c r="M69" i="1"/>
  <c r="L5" i="1"/>
  <c r="K7" i="1"/>
  <c r="K13" i="1" s="1"/>
  <c r="Q4" i="1"/>
  <c r="P15" i="1"/>
  <c r="V27" i="1"/>
  <c r="Z11" i="1"/>
  <c r="CC46" i="1" l="1"/>
  <c r="CB71" i="1"/>
  <c r="CM26" i="1"/>
  <c r="AP26" i="1"/>
  <c r="CE26" i="1"/>
  <c r="CB18" i="1"/>
  <c r="CC18" i="1" s="1"/>
  <c r="CD18" i="1" s="1"/>
  <c r="CE18" i="1" s="1"/>
  <c r="CF18" i="1" s="1"/>
  <c r="CG18" i="1" s="1"/>
  <c r="CH18" i="1" s="1"/>
  <c r="CI18" i="1" s="1"/>
  <c r="CJ18" i="1" s="1"/>
  <c r="O16" i="1"/>
  <c r="O69" i="1" s="1"/>
  <c r="N69" i="1"/>
  <c r="M5" i="1"/>
  <c r="L7" i="1"/>
  <c r="L13" i="1" s="1"/>
  <c r="R4" i="1"/>
  <c r="Q15" i="1"/>
  <c r="W27" i="1"/>
  <c r="V69" i="1"/>
  <c r="CD46" i="1" l="1"/>
  <c r="CC71" i="1"/>
  <c r="CF26" i="1"/>
  <c r="AQ26" i="1"/>
  <c r="CN26" i="1"/>
  <c r="AN16" i="1"/>
  <c r="N5" i="1"/>
  <c r="M7" i="1"/>
  <c r="M13" i="1" s="1"/>
  <c r="R15" i="1"/>
  <c r="S4" i="1"/>
  <c r="X27" i="1"/>
  <c r="W69" i="1"/>
  <c r="CE46" i="1" l="1"/>
  <c r="CD71" i="1"/>
  <c r="CO26" i="1"/>
  <c r="AR26" i="1"/>
  <c r="AO16" i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Z16" i="1" s="1"/>
  <c r="BA16" i="1" s="1"/>
  <c r="O5" i="1"/>
  <c r="N7" i="1"/>
  <c r="N13" i="1" s="1"/>
  <c r="T4" i="1"/>
  <c r="S15" i="1"/>
  <c r="Y27" i="1"/>
  <c r="X69" i="1"/>
  <c r="CF46" i="1" l="1"/>
  <c r="CF71" i="1" s="1"/>
  <c r="CE71" i="1"/>
  <c r="AS26" i="1"/>
  <c r="CP26" i="1"/>
  <c r="BB16" i="1"/>
  <c r="P5" i="1"/>
  <c r="O7" i="1"/>
  <c r="O13" i="1" s="1"/>
  <c r="U4" i="1"/>
  <c r="T15" i="1"/>
  <c r="Z27" i="1"/>
  <c r="Y69" i="1"/>
  <c r="AA27" i="1" l="1"/>
  <c r="CQ26" i="1"/>
  <c r="AT26" i="1"/>
  <c r="BC16" i="1"/>
  <c r="BC17" i="1" s="1"/>
  <c r="AB27" i="1"/>
  <c r="AA69" i="1"/>
  <c r="Q5" i="1"/>
  <c r="P7" i="1"/>
  <c r="P13" i="1" s="1"/>
  <c r="U15" i="1"/>
  <c r="V4" i="1"/>
  <c r="Z69" i="1"/>
  <c r="AU26" i="1" l="1"/>
  <c r="CR26" i="1"/>
  <c r="BD16" i="1"/>
  <c r="AC27" i="1"/>
  <c r="AB69" i="1"/>
  <c r="Q7" i="1"/>
  <c r="Q13" i="1" s="1"/>
  <c r="R5" i="1"/>
  <c r="V15" i="1"/>
  <c r="W4" i="1"/>
  <c r="CS26" i="1" l="1"/>
  <c r="AV26" i="1"/>
  <c r="BE16" i="1"/>
  <c r="AD27" i="1"/>
  <c r="AC69" i="1"/>
  <c r="R7" i="1"/>
  <c r="R13" i="1" s="1"/>
  <c r="S5" i="1"/>
  <c r="S7" i="1" s="1"/>
  <c r="S13" i="1" s="1"/>
  <c r="W15" i="1"/>
  <c r="X4" i="1"/>
  <c r="AW26" i="1" l="1"/>
  <c r="CT26" i="1"/>
  <c r="BF16" i="1"/>
  <c r="AE27" i="1"/>
  <c r="AD69" i="1"/>
  <c r="Y4" i="1"/>
  <c r="X15" i="1"/>
  <c r="CU26" i="1" l="1"/>
  <c r="AX26" i="1"/>
  <c r="BG16" i="1"/>
  <c r="AF27" i="1"/>
  <c r="AE69" i="1"/>
  <c r="Z4" i="1"/>
  <c r="AA4" i="1" s="1"/>
  <c r="Y15" i="1"/>
  <c r="AY26" i="1" l="1"/>
  <c r="CV26" i="1"/>
  <c r="BH16" i="1"/>
  <c r="AB4" i="1"/>
  <c r="AA15" i="1"/>
  <c r="AG27" i="1"/>
  <c r="AF69" i="1"/>
  <c r="Z15" i="1"/>
  <c r="CW26" i="1" l="1"/>
  <c r="AZ26" i="1"/>
  <c r="BI16" i="1"/>
  <c r="AB15" i="1"/>
  <c r="AC4" i="1"/>
  <c r="AH27" i="1"/>
  <c r="AG69" i="1"/>
  <c r="T69" i="1"/>
  <c r="T5" i="1" s="1"/>
  <c r="T7" i="1" s="1"/>
  <c r="BA26" i="1" l="1"/>
  <c r="CX26" i="1"/>
  <c r="BJ16" i="1"/>
  <c r="AI27" i="1"/>
  <c r="AH69" i="1"/>
  <c r="AC15" i="1"/>
  <c r="AD4" i="1"/>
  <c r="U69" i="1"/>
  <c r="U5" i="1" s="1"/>
  <c r="U7" i="1" s="1"/>
  <c r="T13" i="1"/>
  <c r="CY26" i="1" l="1"/>
  <c r="BB26" i="1"/>
  <c r="BK16" i="1"/>
  <c r="AE4" i="1"/>
  <c r="AD15" i="1"/>
  <c r="AJ27" i="1"/>
  <c r="AI69" i="1"/>
  <c r="V5" i="1"/>
  <c r="V7" i="1" s="1"/>
  <c r="BC26" i="1" l="1"/>
  <c r="CZ26" i="1"/>
  <c r="BL16" i="1"/>
  <c r="BM16" i="1" s="1"/>
  <c r="AE15" i="1"/>
  <c r="AF4" i="1"/>
  <c r="AK27" i="1"/>
  <c r="AJ69" i="1"/>
  <c r="U13" i="1"/>
  <c r="W5" i="1"/>
  <c r="W7" i="1" s="1"/>
  <c r="V13" i="1"/>
  <c r="DA26" i="1" l="1"/>
  <c r="BE26" i="1"/>
  <c r="BN16" i="1"/>
  <c r="BO16" i="1" s="1"/>
  <c r="AL27" i="1"/>
  <c r="AK69" i="1"/>
  <c r="AG4" i="1"/>
  <c r="AF15" i="1"/>
  <c r="X5" i="1"/>
  <c r="X7" i="1" s="1"/>
  <c r="W13" i="1"/>
  <c r="BF26" i="1" l="1"/>
  <c r="DB26" i="1"/>
  <c r="BP16" i="1"/>
  <c r="BQ16" i="1" s="1"/>
  <c r="BT16" i="1" s="1"/>
  <c r="BO17" i="1"/>
  <c r="AM27" i="1"/>
  <c r="AL69" i="1"/>
  <c r="AG15" i="1"/>
  <c r="AH4" i="1"/>
  <c r="X13" i="1"/>
  <c r="Y5" i="1"/>
  <c r="Y7" i="1" s="1"/>
  <c r="AN27" i="1" l="1"/>
  <c r="DC26" i="1"/>
  <c r="BG26" i="1"/>
  <c r="BU16" i="1"/>
  <c r="BV16" i="1" s="1"/>
  <c r="BW16" i="1" s="1"/>
  <c r="BX16" i="1" s="1"/>
  <c r="BY16" i="1" s="1"/>
  <c r="BZ16" i="1" s="1"/>
  <c r="CA16" i="1" s="1"/>
  <c r="CB16" i="1" s="1"/>
  <c r="CC16" i="1" s="1"/>
  <c r="CD16" i="1" s="1"/>
  <c r="CE16" i="1" s="1"/>
  <c r="CF16" i="1" s="1"/>
  <c r="CH16" i="1" s="1"/>
  <c r="CJ16" i="1" s="1"/>
  <c r="CK16" i="1" s="1"/>
  <c r="CL16" i="1"/>
  <c r="AO27" i="1"/>
  <c r="AN69" i="1"/>
  <c r="AI4" i="1"/>
  <c r="AH15" i="1"/>
  <c r="AM69" i="1"/>
  <c r="Z5" i="1"/>
  <c r="Y13" i="1"/>
  <c r="BH26" i="1" l="1"/>
  <c r="DD26" i="1"/>
  <c r="CM16" i="1"/>
  <c r="AP27" i="1"/>
  <c r="AO69" i="1"/>
  <c r="AJ4" i="1"/>
  <c r="AI15" i="1"/>
  <c r="Z7" i="1"/>
  <c r="Z13" i="1" s="1"/>
  <c r="AA5" i="1"/>
  <c r="DE26" i="1" l="1"/>
  <c r="BI26" i="1"/>
  <c r="CN16" i="1"/>
  <c r="AQ27" i="1"/>
  <c r="AP69" i="1"/>
  <c r="AK4" i="1"/>
  <c r="AJ15" i="1"/>
  <c r="AB5" i="1"/>
  <c r="AA7" i="1"/>
  <c r="AA13" i="1" s="1"/>
  <c r="BJ26" i="1" l="1"/>
  <c r="DF26" i="1"/>
  <c r="CO16" i="1"/>
  <c r="AR27" i="1"/>
  <c r="AQ69" i="1"/>
  <c r="AL4" i="1"/>
  <c r="AK15" i="1"/>
  <c r="AC5" i="1"/>
  <c r="AB7" i="1"/>
  <c r="AB13" i="1" s="1"/>
  <c r="DG26" i="1" l="1"/>
  <c r="BK26" i="1"/>
  <c r="CP16" i="1"/>
  <c r="AS27" i="1"/>
  <c r="AR69" i="1"/>
  <c r="AL15" i="1"/>
  <c r="AM4" i="1"/>
  <c r="AN4" i="1" s="1"/>
  <c r="AC7" i="1"/>
  <c r="AC13" i="1" s="1"/>
  <c r="AD5" i="1"/>
  <c r="BL26" i="1" l="1"/>
  <c r="DH26" i="1"/>
  <c r="CQ16" i="1"/>
  <c r="AN15" i="1"/>
  <c r="AO4" i="1"/>
  <c r="AT27" i="1"/>
  <c r="AS69" i="1"/>
  <c r="AM15" i="1"/>
  <c r="AE5" i="1"/>
  <c r="AD7" i="1"/>
  <c r="AD13" i="1" s="1"/>
  <c r="CR16" i="1" l="1"/>
  <c r="AU27" i="1"/>
  <c r="AT69" i="1"/>
  <c r="AP4" i="1"/>
  <c r="AO15" i="1"/>
  <c r="AF5" i="1"/>
  <c r="AE7" i="1"/>
  <c r="AE13" i="1" s="1"/>
  <c r="CS16" i="1" l="1"/>
  <c r="AP15" i="1"/>
  <c r="AQ4" i="1"/>
  <c r="AV27" i="1"/>
  <c r="AU69" i="1"/>
  <c r="AG5" i="1"/>
  <c r="AF7" i="1"/>
  <c r="AF13" i="1" s="1"/>
  <c r="CT16" i="1" l="1"/>
  <c r="AQ15" i="1"/>
  <c r="AR4" i="1"/>
  <c r="AW27" i="1"/>
  <c r="AV69" i="1"/>
  <c r="AG7" i="1"/>
  <c r="AG13" i="1" s="1"/>
  <c r="AH5" i="1"/>
  <c r="CU16" i="1" l="1"/>
  <c r="AX27" i="1"/>
  <c r="AW69" i="1"/>
  <c r="AR15" i="1"/>
  <c r="AS4" i="1"/>
  <c r="AH7" i="1"/>
  <c r="AH13" i="1" s="1"/>
  <c r="AI5" i="1"/>
  <c r="CV16" i="1" l="1"/>
  <c r="CW16" i="1" s="1"/>
  <c r="AT4" i="1"/>
  <c r="AS15" i="1"/>
  <c r="AY27" i="1"/>
  <c r="AX69" i="1"/>
  <c r="AJ5" i="1"/>
  <c r="AI7" i="1"/>
  <c r="AI13" i="1" s="1"/>
  <c r="AZ27" i="1" l="1"/>
  <c r="CX16" i="1"/>
  <c r="AZ69" i="1"/>
  <c r="AY69" i="1"/>
  <c r="AT15" i="1"/>
  <c r="AU4" i="1"/>
  <c r="AK5" i="1"/>
  <c r="AJ7" i="1"/>
  <c r="AJ13" i="1" s="1"/>
  <c r="CY16" i="1" l="1"/>
  <c r="BA27" i="1"/>
  <c r="AU15" i="1"/>
  <c r="AV4" i="1"/>
  <c r="AK7" i="1"/>
  <c r="AK13" i="1" s="1"/>
  <c r="AL5" i="1"/>
  <c r="BB27" i="1" l="1"/>
  <c r="BA69" i="1"/>
  <c r="CZ16" i="1"/>
  <c r="AW4" i="1"/>
  <c r="AV15" i="1"/>
  <c r="AM5" i="1"/>
  <c r="AN5" i="1" s="1"/>
  <c r="AL7" i="1"/>
  <c r="AL13" i="1" s="1"/>
  <c r="DA16" i="1" l="1"/>
  <c r="BC27" i="1"/>
  <c r="BB69" i="1"/>
  <c r="AW15" i="1"/>
  <c r="AX4" i="1"/>
  <c r="AO5" i="1"/>
  <c r="AN7" i="1"/>
  <c r="AN13" i="1" s="1"/>
  <c r="AM7" i="1"/>
  <c r="AM13" i="1" s="1"/>
  <c r="BD27" i="1" l="1"/>
  <c r="BC69" i="1"/>
  <c r="DB16" i="1"/>
  <c r="AY4" i="1"/>
  <c r="AZ4" i="1" s="1"/>
  <c r="AX15" i="1"/>
  <c r="AP5" i="1"/>
  <c r="AO7" i="1"/>
  <c r="AO13" i="1" s="1"/>
  <c r="DC16" i="1" l="1"/>
  <c r="BE27" i="1"/>
  <c r="BD69" i="1"/>
  <c r="BA4" i="1"/>
  <c r="BB4" i="1" s="1"/>
  <c r="AZ15" i="1"/>
  <c r="AY15" i="1"/>
  <c r="AP7" i="1"/>
  <c r="AP13" i="1" s="1"/>
  <c r="AQ5" i="1"/>
  <c r="BF27" i="1" l="1"/>
  <c r="BE69" i="1"/>
  <c r="DD16" i="1"/>
  <c r="BA15" i="1"/>
  <c r="BC4" i="1"/>
  <c r="BB15" i="1"/>
  <c r="AR5" i="1"/>
  <c r="AQ7" i="1"/>
  <c r="AQ13" i="1" s="1"/>
  <c r="DE16" i="1" l="1"/>
  <c r="BF69" i="1"/>
  <c r="BG27" i="1"/>
  <c r="BD4" i="1"/>
  <c r="BC15" i="1"/>
  <c r="AS5" i="1"/>
  <c r="AR7" i="1"/>
  <c r="AR13" i="1" s="1"/>
  <c r="BG69" i="1" l="1"/>
  <c r="BH27" i="1"/>
  <c r="DF16" i="1"/>
  <c r="BD15" i="1"/>
  <c r="BE4" i="1"/>
  <c r="AS7" i="1"/>
  <c r="AS13" i="1" s="1"/>
  <c r="AT5" i="1"/>
  <c r="DG16" i="1" l="1"/>
  <c r="BI27" i="1"/>
  <c r="BH69" i="1"/>
  <c r="BF4" i="1"/>
  <c r="BE15" i="1"/>
  <c r="AU5" i="1"/>
  <c r="AT7" i="1"/>
  <c r="AT13" i="1" s="1"/>
  <c r="BJ27" i="1" l="1"/>
  <c r="BI69" i="1"/>
  <c r="DH16" i="1"/>
  <c r="BF15" i="1"/>
  <c r="BG4" i="1"/>
  <c r="AV5" i="1"/>
  <c r="AU7" i="1"/>
  <c r="AU13" i="1" s="1"/>
  <c r="BK27" i="1" l="1"/>
  <c r="BJ69" i="1"/>
  <c r="BG15" i="1"/>
  <c r="BH4" i="1"/>
  <c r="AW5" i="1"/>
  <c r="AV7" i="1"/>
  <c r="AV13" i="1" s="1"/>
  <c r="BL27" i="1" l="1"/>
  <c r="BK69" i="1"/>
  <c r="BM69" i="1"/>
  <c r="BI4" i="1"/>
  <c r="BH15" i="1"/>
  <c r="AX5" i="1"/>
  <c r="AW7" i="1"/>
  <c r="AW13" i="1" s="1"/>
  <c r="BL69" i="1" l="1"/>
  <c r="BN69" i="1"/>
  <c r="BJ4" i="1"/>
  <c r="BI15" i="1"/>
  <c r="AY5" i="1"/>
  <c r="AZ5" i="1" s="1"/>
  <c r="AX7" i="1"/>
  <c r="AX13" i="1" s="1"/>
  <c r="BP27" i="1" l="1"/>
  <c r="BO69" i="1"/>
  <c r="BA5" i="1"/>
  <c r="BA7" i="1" s="1"/>
  <c r="BA13" i="1" s="1"/>
  <c r="BK4" i="1"/>
  <c r="BJ15" i="1"/>
  <c r="AZ7" i="1"/>
  <c r="AZ13" i="1" s="1"/>
  <c r="AY7" i="1"/>
  <c r="AY13" i="1" s="1"/>
  <c r="BB5" i="1" l="1"/>
  <c r="BC5" i="1" s="1"/>
  <c r="BQ27" i="1"/>
  <c r="BP69" i="1"/>
  <c r="BL4" i="1"/>
  <c r="BM4" i="1" s="1"/>
  <c r="BK15" i="1"/>
  <c r="BB7" i="1" l="1"/>
  <c r="BB13" i="1" s="1"/>
  <c r="BM15" i="1"/>
  <c r="BN4" i="1"/>
  <c r="BR27" i="1"/>
  <c r="BQ69" i="1"/>
  <c r="BL15" i="1"/>
  <c r="BC7" i="1"/>
  <c r="BC13" i="1" s="1"/>
  <c r="BD5" i="1"/>
  <c r="BS27" i="1" l="1"/>
  <c r="BR69" i="1"/>
  <c r="BO4" i="1"/>
  <c r="BN15" i="1"/>
  <c r="BE5" i="1"/>
  <c r="BD7" i="1"/>
  <c r="BD13" i="1" s="1"/>
  <c r="BO15" i="1" l="1"/>
  <c r="BP4" i="1"/>
  <c r="BT27" i="1"/>
  <c r="BS69" i="1"/>
  <c r="BE7" i="1"/>
  <c r="BE13" i="1" s="1"/>
  <c r="BF5" i="1"/>
  <c r="BU27" i="1" l="1"/>
  <c r="BT69" i="1"/>
  <c r="BP15" i="1"/>
  <c r="BQ4" i="1"/>
  <c r="BG5" i="1"/>
  <c r="BF7" i="1"/>
  <c r="BF13" i="1" s="1"/>
  <c r="BR4" i="1" l="1"/>
  <c r="BQ15" i="1"/>
  <c r="BV27" i="1"/>
  <c r="BU69" i="1"/>
  <c r="BH5" i="1"/>
  <c r="BG7" i="1"/>
  <c r="BG13" i="1" s="1"/>
  <c r="BV69" i="1" l="1"/>
  <c r="BW27" i="1"/>
  <c r="BR15" i="1"/>
  <c r="BS4" i="1"/>
  <c r="BI5" i="1"/>
  <c r="BH7" i="1"/>
  <c r="BH13" i="1" s="1"/>
  <c r="BS15" i="1" l="1"/>
  <c r="BT4" i="1"/>
  <c r="BX27" i="1"/>
  <c r="BW69" i="1"/>
  <c r="BJ5" i="1"/>
  <c r="BI7" i="1"/>
  <c r="BI13" i="1" s="1"/>
  <c r="BX69" i="1" l="1"/>
  <c r="BY27" i="1"/>
  <c r="BU4" i="1"/>
  <c r="BT15" i="1"/>
  <c r="BK5" i="1"/>
  <c r="BJ7" i="1"/>
  <c r="BJ13" i="1" s="1"/>
  <c r="BV4" i="1" l="1"/>
  <c r="BU15" i="1"/>
  <c r="BY69" i="1"/>
  <c r="BZ27" i="1"/>
  <c r="BK7" i="1"/>
  <c r="BK13" i="1" s="1"/>
  <c r="BL5" i="1"/>
  <c r="BM5" i="1" s="1"/>
  <c r="BZ69" i="1" l="1"/>
  <c r="CA27" i="1"/>
  <c r="BV15" i="1"/>
  <c r="BW4" i="1"/>
  <c r="BM7" i="1"/>
  <c r="BM13" i="1" s="1"/>
  <c r="BN5" i="1"/>
  <c r="BL7" i="1"/>
  <c r="BL13" i="1" s="1"/>
  <c r="CA69" i="1" l="1"/>
  <c r="CB27" i="1"/>
  <c r="BW15" i="1"/>
  <c r="BX4" i="1"/>
  <c r="BO5" i="1"/>
  <c r="BO7" i="1" s="1"/>
  <c r="BN7" i="1"/>
  <c r="BN13" i="1" s="1"/>
  <c r="CB69" i="1" l="1"/>
  <c r="CC27" i="1"/>
  <c r="BX15" i="1"/>
  <c r="BY4" i="1"/>
  <c r="BP5" i="1"/>
  <c r="BO13" i="1"/>
  <c r="BY15" i="1" l="1"/>
  <c r="BZ4" i="1"/>
  <c r="CD27" i="1"/>
  <c r="CC69" i="1"/>
  <c r="BQ5" i="1"/>
  <c r="BP7" i="1"/>
  <c r="BP13" i="1" s="1"/>
  <c r="CE27" i="1" l="1"/>
  <c r="CD69" i="1"/>
  <c r="CA4" i="1"/>
  <c r="BZ15" i="1"/>
  <c r="BR5" i="1"/>
  <c r="BQ7" i="1"/>
  <c r="BQ13" i="1" s="1"/>
  <c r="CA15" i="1" l="1"/>
  <c r="CB4" i="1"/>
  <c r="CF27" i="1"/>
  <c r="CE69" i="1"/>
  <c r="BS5" i="1"/>
  <c r="BR7" i="1"/>
  <c r="BR13" i="1" s="1"/>
  <c r="CF69" i="1" l="1"/>
  <c r="CG27" i="1"/>
  <c r="CB15" i="1"/>
  <c r="CC4" i="1"/>
  <c r="BS7" i="1"/>
  <c r="BS13" i="1" s="1"/>
  <c r="BT5" i="1"/>
  <c r="CC15" i="1" l="1"/>
  <c r="CD4" i="1"/>
  <c r="CH27" i="1"/>
  <c r="CG69" i="1"/>
  <c r="BT7" i="1"/>
  <c r="BT13" i="1" s="1"/>
  <c r="BU5" i="1"/>
  <c r="CD15" i="1" l="1"/>
  <c r="CE4" i="1"/>
  <c r="CI27" i="1"/>
  <c r="CH69" i="1"/>
  <c r="BV5" i="1"/>
  <c r="BU7" i="1"/>
  <c r="BU13" i="1" s="1"/>
  <c r="CJ27" i="1" l="1"/>
  <c r="CI69" i="1"/>
  <c r="CF4" i="1"/>
  <c r="CE15" i="1"/>
  <c r="BW5" i="1"/>
  <c r="BV7" i="1"/>
  <c r="BV13" i="1" s="1"/>
  <c r="CJ69" i="1" l="1"/>
  <c r="CK27" i="1"/>
  <c r="CF15" i="1"/>
  <c r="CG4" i="1"/>
  <c r="BW7" i="1"/>
  <c r="BW13" i="1" s="1"/>
  <c r="BX5" i="1"/>
  <c r="CL27" i="1" l="1"/>
  <c r="CK69" i="1"/>
  <c r="CG15" i="1"/>
  <c r="CH4" i="1"/>
  <c r="BX7" i="1"/>
  <c r="BX13" i="1" s="1"/>
  <c r="BY5" i="1"/>
  <c r="CM27" i="1" l="1"/>
  <c r="CL69" i="1"/>
  <c r="CH15" i="1"/>
  <c r="CI4" i="1"/>
  <c r="BY7" i="1"/>
  <c r="BY13" i="1" s="1"/>
  <c r="BZ5" i="1"/>
  <c r="CN27" i="1" l="1"/>
  <c r="CM69" i="1"/>
  <c r="CJ4" i="1"/>
  <c r="CI15" i="1"/>
  <c r="CA5" i="1"/>
  <c r="BZ7" i="1"/>
  <c r="BZ13" i="1" s="1"/>
  <c r="CJ15" i="1" l="1"/>
  <c r="CK4" i="1"/>
  <c r="CO27" i="1"/>
  <c r="CN69" i="1"/>
  <c r="CB5" i="1"/>
  <c r="CA7" i="1"/>
  <c r="CA13" i="1" s="1"/>
  <c r="CP27" i="1" l="1"/>
  <c r="CO69" i="1"/>
  <c r="CL4" i="1"/>
  <c r="CK15" i="1"/>
  <c r="CC5" i="1"/>
  <c r="CB7" i="1"/>
  <c r="CB13" i="1" s="1"/>
  <c r="CL15" i="1" l="1"/>
  <c r="CM4" i="1"/>
  <c r="CQ27" i="1"/>
  <c r="CP69" i="1"/>
  <c r="CC7" i="1"/>
  <c r="CC13" i="1" s="1"/>
  <c r="CD5" i="1"/>
  <c r="CR27" i="1" l="1"/>
  <c r="CQ69" i="1"/>
  <c r="CM15" i="1"/>
  <c r="CN4" i="1"/>
  <c r="CE5" i="1"/>
  <c r="CD7" i="1"/>
  <c r="CD13" i="1" s="1"/>
  <c r="CO4" i="1" l="1"/>
  <c r="CN15" i="1"/>
  <c r="CS27" i="1"/>
  <c r="CR69" i="1"/>
  <c r="CE7" i="1"/>
  <c r="CE13" i="1" s="1"/>
  <c r="CF5" i="1"/>
  <c r="CT27" i="1" l="1"/>
  <c r="CS69" i="1"/>
  <c r="CP4" i="1"/>
  <c r="CO15" i="1"/>
  <c r="CF7" i="1"/>
  <c r="CF13" i="1" s="1"/>
  <c r="CG5" i="1"/>
  <c r="CP15" i="1" l="1"/>
  <c r="CQ4" i="1"/>
  <c r="CU27" i="1"/>
  <c r="CT69" i="1"/>
  <c r="CH5" i="1"/>
  <c r="CG7" i="1"/>
  <c r="CG13" i="1" s="1"/>
  <c r="CV27" i="1" l="1"/>
  <c r="CU69" i="1"/>
  <c r="CR4" i="1"/>
  <c r="CQ15" i="1"/>
  <c r="CH7" i="1"/>
  <c r="CH13" i="1" s="1"/>
  <c r="CI5" i="1"/>
  <c r="CV69" i="1" l="1"/>
  <c r="CW27" i="1"/>
  <c r="CS4" i="1"/>
  <c r="CR15" i="1"/>
  <c r="CI7" i="1"/>
  <c r="CI13" i="1" s="1"/>
  <c r="CJ5" i="1"/>
  <c r="CX27" i="1" l="1"/>
  <c r="CW69" i="1"/>
  <c r="CJ7" i="1"/>
  <c r="CJ13" i="1" s="1"/>
  <c r="CK5" i="1"/>
  <c r="CT4" i="1"/>
  <c r="CS15" i="1"/>
  <c r="CY27" i="1" l="1"/>
  <c r="CX69" i="1"/>
  <c r="CU4" i="1"/>
  <c r="CT15" i="1"/>
  <c r="CL5" i="1"/>
  <c r="CK7" i="1"/>
  <c r="CK13" i="1" s="1"/>
  <c r="CZ27" i="1" l="1"/>
  <c r="CY69" i="1"/>
  <c r="CL7" i="1"/>
  <c r="CL13" i="1" s="1"/>
  <c r="CM5" i="1"/>
  <c r="CV4" i="1"/>
  <c r="CU15" i="1"/>
  <c r="CV15" i="1" l="1"/>
  <c r="CW4" i="1"/>
  <c r="DA27" i="1"/>
  <c r="CZ69" i="1"/>
  <c r="CN5" i="1"/>
  <c r="CM7" i="1"/>
  <c r="CM13" i="1" s="1"/>
  <c r="DB27" i="1" l="1"/>
  <c r="DA69" i="1"/>
  <c r="CX4" i="1"/>
  <c r="CW15" i="1"/>
  <c r="CO5" i="1"/>
  <c r="CN7" i="1"/>
  <c r="CN13" i="1" s="1"/>
  <c r="CY4" i="1" l="1"/>
  <c r="CX15" i="1"/>
  <c r="DC27" i="1"/>
  <c r="DB69" i="1"/>
  <c r="CP5" i="1"/>
  <c r="CO7" i="1"/>
  <c r="CO13" i="1" s="1"/>
  <c r="DD27" i="1" l="1"/>
  <c r="DC69" i="1"/>
  <c r="CZ4" i="1"/>
  <c r="CY15" i="1"/>
  <c r="CQ5" i="1"/>
  <c r="CP7" i="1"/>
  <c r="CP13" i="1" s="1"/>
  <c r="DA4" i="1" l="1"/>
  <c r="CZ15" i="1"/>
  <c r="DE27" i="1"/>
  <c r="DD69" i="1"/>
  <c r="CR5" i="1"/>
  <c r="CQ7" i="1"/>
  <c r="CQ13" i="1" s="1"/>
  <c r="DF27" i="1" l="1"/>
  <c r="DE69" i="1"/>
  <c r="DA15" i="1"/>
  <c r="DB4" i="1"/>
  <c r="CS5" i="1"/>
  <c r="CR7" i="1"/>
  <c r="CR13" i="1" s="1"/>
  <c r="DB15" i="1" l="1"/>
  <c r="DC4" i="1"/>
  <c r="DG27" i="1"/>
  <c r="DF69" i="1"/>
  <c r="CT5" i="1"/>
  <c r="CS7" i="1"/>
  <c r="CS13" i="1" s="1"/>
  <c r="DH27" i="1" l="1"/>
  <c r="DG69" i="1"/>
  <c r="DC15" i="1"/>
  <c r="DD4" i="1"/>
  <c r="CT7" i="1"/>
  <c r="CT13" i="1" s="1"/>
  <c r="CU5" i="1"/>
  <c r="DD15" i="1" l="1"/>
  <c r="DE4" i="1"/>
  <c r="DH69" i="1"/>
  <c r="CV5" i="1"/>
  <c r="CU7" i="1"/>
  <c r="CU13" i="1" s="1"/>
  <c r="CV7" i="1" l="1"/>
  <c r="CV13" i="1" s="1"/>
  <c r="CW5" i="1"/>
  <c r="DE15" i="1"/>
  <c r="DF4" i="1"/>
  <c r="DF15" i="1" l="1"/>
  <c r="DG4" i="1"/>
  <c r="CW7" i="1"/>
  <c r="CW13" i="1" s="1"/>
  <c r="CX5" i="1"/>
  <c r="CX7" i="1" l="1"/>
  <c r="CX13" i="1" s="1"/>
  <c r="CY5" i="1"/>
  <c r="DG15" i="1"/>
  <c r="DH4" i="1"/>
  <c r="DH15" i="1" s="1"/>
  <c r="CY7" i="1" l="1"/>
  <c r="CY13" i="1" s="1"/>
  <c r="CZ5" i="1"/>
  <c r="CZ7" i="1" l="1"/>
  <c r="CZ13" i="1" s="1"/>
  <c r="DA5" i="1"/>
  <c r="DA7" i="1" l="1"/>
  <c r="DA13" i="1" s="1"/>
  <c r="DB5" i="1"/>
  <c r="DB7" i="1" l="1"/>
  <c r="DB13" i="1" s="1"/>
  <c r="DC5" i="1"/>
  <c r="DC7" i="1" l="1"/>
  <c r="DC13" i="1" s="1"/>
  <c r="DD5" i="1"/>
  <c r="DD7" i="1" l="1"/>
  <c r="DD13" i="1" s="1"/>
  <c r="DE5" i="1"/>
  <c r="DF5" i="1" l="1"/>
  <c r="DE7" i="1"/>
  <c r="DE13" i="1" s="1"/>
  <c r="DG5" i="1" l="1"/>
  <c r="DF7" i="1"/>
  <c r="DF13" i="1" s="1"/>
  <c r="DG7" i="1" l="1"/>
  <c r="DG13" i="1" s="1"/>
  <c r="DH5" i="1"/>
  <c r="DH7" i="1" s="1"/>
  <c r="DH1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 Hauser</author>
    <author>tc={77FFFB3B-3478-4902-8FBB-47FA6214A9A2}</author>
    <author>tc={7A2A6F35-55D3-4591-9C91-EB60C76F3B7C}</author>
    <author>tc={6F5BF112-06A4-415B-9E29-22D52A04B129}</author>
  </authors>
  <commentList>
    <comment ref="CF3" authorId="0" shapeId="0" xr:uid="{8231B024-2F2D-4637-AFB6-27CDD36672E8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+ Betalane: 50k
EUR 21k +CHF 55k (discounted from) / +60k sold
</t>
        </r>
      </text>
    </comment>
    <comment ref="AJ16" authorId="0" shapeId="0" xr:uid="{85F7F443-5AF0-4901-8D54-ACD3E90C065C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DNA support</t>
        </r>
      </text>
    </comment>
    <comment ref="AK16" authorId="0" shapeId="0" xr:uid="{BADB2EAB-29C1-445E-BBE8-C16E14C51488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1 month contractor</t>
        </r>
      </text>
    </comment>
    <comment ref="AL16" authorId="0" shapeId="0" xr:uid="{24287C02-403E-4962-AC10-17D2DD39EEA4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Start F10
</t>
        </r>
      </text>
    </comment>
    <comment ref="BR16" authorId="0" shapeId="0" xr:uid="{CBDA8B4D-6707-453C-BAB2-D140E14CE6E2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Marc starts TS
</t>
        </r>
      </text>
    </comment>
    <comment ref="BY17" authorId="0" shapeId="0" xr:uid="{EB971DD4-0266-4FD3-8539-73C1D354B698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First Half-year Marc bonus with 75% reach, 0 for EBITDA
</t>
        </r>
      </text>
    </comment>
    <comment ref="AM19" authorId="0" shapeId="0" xr:uid="{6FF29F49-92CC-4C0C-9C7E-DD2148212C81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Graubünden
</t>
        </r>
      </text>
    </comment>
    <comment ref="AY19" authorId="0" shapeId="0" xr:uid="{8E21F370-A502-4E57-B25D-7492B13FE40F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Graubünden
</t>
        </r>
      </text>
    </comment>
    <comment ref="BK19" authorId="0" shapeId="0" xr:uid="{C06CECC1-F8ED-4D4A-83DC-DE5732E8555F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Graubünden
</t>
        </r>
      </text>
    </comment>
    <comment ref="AK20" authorId="0" shapeId="0" xr:uid="{7B64DF37-EBC9-4DDC-990D-63506363DAFB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advaisor</t>
        </r>
      </text>
    </comment>
    <comment ref="CF24" authorId="1" shapeId="0" xr:uid="{77FFFB3B-3478-4902-8FBB-47FA6214A9A2}">
      <text>
        <t>[Threaded comment]
Your version of Excel allows you to read this threaded comment; however, any edits to it will get removed if the file is opened in a newer version of Excel. Learn more: https://go.microsoft.com/fwlink/?linkid=870924
Comment:
    Selling CRO at 0.34</t>
      </text>
    </comment>
    <comment ref="AE26" authorId="0" shapeId="0" xr:uid="{8068D825-D001-41CC-8F56-76DB4A577AE8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Karen baby sitter
</t>
        </r>
      </text>
    </comment>
    <comment ref="AH26" authorId="0" shapeId="0" xr:uid="{7337952D-E3EC-4980-98AE-2A60A7F365BC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Zoe</t>
        </r>
      </text>
    </comment>
    <comment ref="AK26" authorId="0" shapeId="0" xr:uid="{B8B01561-2D28-4385-9869-9D4349D19D27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Krippe</t>
        </r>
      </text>
    </comment>
    <comment ref="BP26" authorId="0" shapeId="0" xr:uid="{E4E8F82F-026F-4986-9A83-63A08213C9E1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No more Zoe
</t>
        </r>
      </text>
    </comment>
    <comment ref="BT26" authorId="0" shapeId="0" xr:uid="{744AB80D-7417-471B-BC85-9C33DFD6503E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No more Zoe
</t>
        </r>
      </text>
    </comment>
    <comment ref="CG26" authorId="0" shapeId="0" xr:uid="{7252D5BA-E331-4ADE-9467-5507B8B357FD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Hort 760
Snejezana
</t>
        </r>
      </text>
    </comment>
    <comment ref="AF44" authorId="0" shapeId="0" xr:uid="{1A8E66B3-8BF8-4216-B463-C876C60F3ADE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Malaga El Barco</t>
        </r>
      </text>
    </comment>
    <comment ref="BP44" authorId="0" shapeId="0" xr:uid="{677136F6-2586-43BC-9E5D-70B0ABDFA4E4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Egypt
</t>
        </r>
      </text>
    </comment>
    <comment ref="BQ44" authorId="0" shapeId="0" xr:uid="{2629196E-197A-412A-8EE7-01EDDED53B13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Staycation and short-trip
</t>
        </r>
      </text>
    </comment>
    <comment ref="BS44" authorId="0" shapeId="0" xr:uid="{2B66065B-0CE5-4245-A9B7-54D2F359CA20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croatia</t>
        </r>
      </text>
    </comment>
    <comment ref="AS53" authorId="0" shapeId="0" xr:uid="{9F47FEBF-A854-4160-8E25-884FB5B8659E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Hair Marc p1 and PRP</t>
        </r>
      </text>
    </comment>
    <comment ref="AU53" authorId="0" shapeId="0" xr:uid="{7FC0F06D-DFA2-46D7-B119-24820DBADDED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Zähne Marc</t>
        </r>
      </text>
    </comment>
    <comment ref="AY53" authorId="0" shapeId="0" xr:uid="{963A43F4-3BA5-4EAE-AD44-161C56F6EE32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Hair Marc p2</t>
        </r>
      </text>
    </comment>
    <comment ref="CE53" authorId="2" shapeId="0" xr:uid="{7A2A6F35-55D3-4591-9C91-EB60C76F3B7C}">
      <text>
        <t>[Threaded comment]
Your version of Excel allows you to read this threaded comment; however, any edits to it will get removed if the file is opened in a newer version of Excel. Learn more: https://go.microsoft.com/fwlink/?linkid=870924
Comment:
    Sanja Augen lasern</t>
      </text>
    </comment>
    <comment ref="AD56" authorId="0" shapeId="0" xr:uid="{7B002944-3DF3-412C-93FB-800DB0D35AF8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Bundesst.
</t>
        </r>
      </text>
    </comment>
    <comment ref="AL56" authorId="0" shapeId="0" xr:uid="{4D1FB393-96C5-49F5-85FB-0E385DD429C5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TAX back</t>
        </r>
      </text>
    </comment>
    <comment ref="AD57" authorId="0" shapeId="0" xr:uid="{6F2F363B-E0D7-46DA-BB97-98395E304E1A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Kanton</t>
        </r>
      </text>
    </comment>
    <comment ref="AI57" authorId="0" shapeId="0" xr:uid="{C55938D1-F244-4B71-96EC-9C11C3D0E86D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Bundesst.
</t>
        </r>
      </text>
    </comment>
    <comment ref="AR57" authorId="0" shapeId="0" xr:uid="{1270621A-8E97-454B-A40D-E4BC98734F6F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Kanton</t>
        </r>
      </text>
    </comment>
    <comment ref="BB57" authorId="0" shapeId="0" xr:uid="{2248D941-F037-4D6A-9ABA-EA1DDCFECF8D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refund of too much paid</t>
        </r>
      </text>
    </comment>
    <comment ref="AP58" authorId="0" shapeId="0" xr:uid="{1C61D985-7CA7-4B0E-B9DE-505A4278DE59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Kanton</t>
        </r>
      </text>
    </comment>
    <comment ref="AU58" authorId="0" shapeId="0" xr:uid="{A61AC879-1FB4-47D5-90D1-9D6838529F41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Bundesst.
</t>
        </r>
      </text>
    </comment>
    <comment ref="BD58" authorId="0" shapeId="0" xr:uid="{E0A8F890-6CF0-457F-AF96-010B09DAF090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Kanton - rückerstattung (doppelt für 2021)</t>
        </r>
      </text>
    </comment>
    <comment ref="BL58" authorId="0" shapeId="0" xr:uid="{9E8F0A78-962C-4181-8F28-5050F88A620F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Bundesst.
</t>
        </r>
      </text>
    </comment>
    <comment ref="BY59" authorId="3" shapeId="0" xr:uid="{6F5BF112-06A4-415B-9E29-22D52A04B1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Refunded </t>
      </text>
    </comment>
    <comment ref="M63" authorId="0" shapeId="0" xr:uid="{7BE051F1-2503-4CE6-9558-413E3288FBB1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Revolut</t>
        </r>
      </text>
    </comment>
    <comment ref="AB63" authorId="0" shapeId="0" xr:uid="{7B218AD4-EF91-46A5-8CC3-76218E7E97C1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Audi A4 bought</t>
        </r>
      </text>
    </comment>
    <comment ref="AI63" authorId="0" shapeId="0" xr:uid="{CCFECE51-979C-4E0C-95DE-911E77DECF17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Stableton: Revolut partial sale</t>
        </r>
      </text>
    </comment>
    <comment ref="AK63" authorId="0" shapeId="0" xr:uid="{03B5E773-86E3-43E5-AD0C-B4C4926A7842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Stableton Next GEN</t>
        </r>
      </text>
    </comment>
    <comment ref="AN63" authorId="0" shapeId="0" xr:uid="{4C9D442D-CF07-40BB-A852-B7D62E19FD5A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30k Stableton: Financial Equity I
5k Republic: Huddle</t>
        </r>
      </text>
    </comment>
    <comment ref="AO63" authorId="0" shapeId="0" xr:uid="{A36038CC-D89A-4B11-8B86-9847111B0E63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NFTs: Goanna, etc
</t>
        </r>
      </text>
    </comment>
    <comment ref="AP63" authorId="0" shapeId="0" xr:uid="{7E7E2DBC-E783-4FFF-B734-0F2EA018F75B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Stableton: 
10k Epic games
10k Klarna</t>
        </r>
      </text>
    </comment>
    <comment ref="AQ63" authorId="0" shapeId="0" xr:uid="{2E9E54F2-2A34-437B-B6CE-CD7B13B68389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F10 buy-in</t>
        </r>
      </text>
    </comment>
    <comment ref="AR63" authorId="0" shapeId="0" xr:uid="{58D54D4D-88CE-4F5A-A5E4-368164519AA8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NFT: Otherside</t>
        </r>
      </text>
    </comment>
    <comment ref="AX63" authorId="0" shapeId="0" xr:uid="{DA20CF9E-66DA-4CEA-A9DF-6A6AB6399EF6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Betalane GmbH creation</t>
        </r>
      </text>
    </comment>
    <comment ref="BO63" authorId="0" shapeId="0" xr:uid="{4A0CA54A-C59B-438A-8B16-EBA6BEFF75F0}">
      <text>
        <r>
          <rPr>
            <b/>
            <sz val="9"/>
            <color indexed="81"/>
            <rFont val="Tahoma"/>
            <charset val="1"/>
          </rPr>
          <t>Marc Hauser:</t>
        </r>
        <r>
          <rPr>
            <sz val="9"/>
            <color indexed="81"/>
            <rFont val="Tahoma"/>
            <charset val="1"/>
          </rPr>
          <t xml:space="preserve">
Lawyer - Tenity Shares - Walder Wyss
</t>
        </r>
      </text>
    </comment>
    <comment ref="AN65" authorId="0" shapeId="0" xr:uid="{C891E2C3-C0B2-492F-8EE7-16D263DA4B36}">
      <text>
        <r>
          <rPr>
            <b/>
            <sz val="9"/>
            <color indexed="81"/>
            <rFont val="Tahoma"/>
            <family val="2"/>
          </rPr>
          <t>Marc Hauser:</t>
        </r>
        <r>
          <rPr>
            <sz val="9"/>
            <color indexed="81"/>
            <rFont val="Tahoma"/>
            <family val="2"/>
          </rPr>
          <t xml:space="preserve">
Eiinkauf SHA</t>
        </r>
      </text>
    </comment>
  </commentList>
</comments>
</file>

<file path=xl/sharedStrings.xml><?xml version="1.0" encoding="utf-8"?>
<sst xmlns="http://schemas.openxmlformats.org/spreadsheetml/2006/main" count="122" uniqueCount="95">
  <si>
    <t>Financial Situation</t>
  </si>
  <si>
    <t>Assets</t>
  </si>
  <si>
    <t>Cash Flow - Projection</t>
  </si>
  <si>
    <t>Cash</t>
  </si>
  <si>
    <t>Debt</t>
  </si>
  <si>
    <t>Net Assets</t>
  </si>
  <si>
    <t>Start advaisor</t>
  </si>
  <si>
    <t>Bridge from shared</t>
  </si>
  <si>
    <t>Total Assets</t>
  </si>
  <si>
    <t>Total Debt</t>
  </si>
  <si>
    <t>Net Cashflow</t>
  </si>
  <si>
    <t>Expenditures - MHA</t>
  </si>
  <si>
    <t>Tax 2018</t>
  </si>
  <si>
    <t>Tax 2019</t>
  </si>
  <si>
    <t>Salary - MHA</t>
  </si>
  <si>
    <t>Bonus - MHA</t>
  </si>
  <si>
    <t>Repay shared bridge MHA</t>
  </si>
  <si>
    <t>Bridge from shared MHA</t>
  </si>
  <si>
    <t xml:space="preserve">Withdrawal </t>
  </si>
  <si>
    <t>Any</t>
  </si>
  <si>
    <t>Tax 2020</t>
  </si>
  <si>
    <t>Salaray advaisor</t>
  </si>
  <si>
    <t>Investments</t>
  </si>
  <si>
    <t>3a</t>
  </si>
  <si>
    <t>Tax 2021</t>
  </si>
  <si>
    <t>Invest back</t>
  </si>
  <si>
    <t>Tax 2022</t>
  </si>
  <si>
    <t>Salary - SHA</t>
  </si>
  <si>
    <t>Salary - SHA Teaching</t>
  </si>
  <si>
    <t>Bonus - SHA</t>
  </si>
  <si>
    <t>Expenditures - SHA</t>
  </si>
  <si>
    <t>Tax 2023</t>
  </si>
  <si>
    <t>Sanja</t>
  </si>
  <si>
    <t>hours</t>
  </si>
  <si>
    <t>Rate</t>
  </si>
  <si>
    <t>BVG Einkauf</t>
  </si>
  <si>
    <t>Tax 2024</t>
  </si>
  <si>
    <t>Beauty and things</t>
  </si>
  <si>
    <t>Loan SHA</t>
  </si>
  <si>
    <t>Revolut 2022</t>
  </si>
  <si>
    <t>Miri brixen</t>
  </si>
  <si>
    <t>EUR</t>
  </si>
  <si>
    <t>CHF</t>
  </si>
  <si>
    <t>Crypto</t>
  </si>
  <si>
    <t>April 2.</t>
  </si>
  <si>
    <t>Date</t>
  </si>
  <si>
    <t>MHA to Sanja</t>
  </si>
  <si>
    <t>24.3.</t>
  </si>
  <si>
    <t>Barco Anzahlung</t>
  </si>
  <si>
    <t>19.5.</t>
  </si>
  <si>
    <t>30.5.</t>
  </si>
  <si>
    <t>15.7.</t>
  </si>
  <si>
    <t>27.7.</t>
  </si>
  <si>
    <t>29.7.</t>
  </si>
  <si>
    <t>16.8.</t>
  </si>
  <si>
    <t>From Sanja</t>
  </si>
  <si>
    <t>Nexo</t>
  </si>
  <si>
    <t>Tadah</t>
  </si>
  <si>
    <t>Babysitting Malaga</t>
  </si>
  <si>
    <t>Wechsel</t>
  </si>
  <si>
    <t>CHF =&gt; EUR</t>
  </si>
  <si>
    <t>Baby - No2</t>
  </si>
  <si>
    <t>Kosten korrektur</t>
  </si>
  <si>
    <t>Loan MHA</t>
  </si>
  <si>
    <t>Tax 2025</t>
  </si>
  <si>
    <t>Kinderbetreuung</t>
  </si>
  <si>
    <t>Wohnen &amp; Energie</t>
  </si>
  <si>
    <t>Geschenke</t>
  </si>
  <si>
    <t>Freizeit, Sport &amp; Hobby</t>
  </si>
  <si>
    <t>Nahrung, Getränke</t>
  </si>
  <si>
    <t>Verkehr</t>
  </si>
  <si>
    <t>Persönliche Auslagen</t>
  </si>
  <si>
    <t>Kommunikation &amp; Medien</t>
  </si>
  <si>
    <t>Körper, Hygiene &amp; Wellness</t>
  </si>
  <si>
    <t>Gesundheit</t>
  </si>
  <si>
    <t>Sparen, Vorsorge &amp; Anlagen</t>
  </si>
  <si>
    <t>Betalane</t>
  </si>
  <si>
    <t>Büroartikel</t>
  </si>
  <si>
    <t>Cashbezug</t>
  </si>
  <si>
    <t>Spenden</t>
  </si>
  <si>
    <t>Steuern</t>
  </si>
  <si>
    <t>Auto</t>
  </si>
  <si>
    <t>Nicht kategorisiert</t>
  </si>
  <si>
    <t>Ferien &amp; Reisen</t>
  </si>
  <si>
    <t>Kleider, Schuhe</t>
  </si>
  <si>
    <t>Haushalt</t>
  </si>
  <si>
    <t>Restaurant, Bar, Club</t>
  </si>
  <si>
    <t>Crypt back</t>
  </si>
  <si>
    <t>Salary - SHA Betalane</t>
  </si>
  <si>
    <t>Spesen back - SHA Betalane</t>
  </si>
  <si>
    <t>End Trust Square</t>
  </si>
  <si>
    <t>RAV MHA</t>
  </si>
  <si>
    <t>Tax 2026</t>
  </si>
  <si>
    <t>Living cost w tax</t>
  </si>
  <si>
    <t>Start UiPath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</si>
</sst>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</cellStyleXfs>
  <cellXfs count="92">
    <xf numFmtId="0" fontId="0" fillId="0" borderId="0" xfId="0"/>
    <xf numFmtId="0" fontId="2" fillId="0" borderId="0" xfId="0" applyFont="1"/>
    <xf numFmtId="14" fontId="2" fillId="0" borderId="0" xfId="0" applyNumberFormat="1" applyFont="1"/>
    <xf numFmtId="164" fontId="0" fillId="0" borderId="0" xfId="1" applyNumberFormat="1" applyFont="1"/>
    <xf numFmtId="164" fontId="0" fillId="0" borderId="1" xfId="1" applyNumberFormat="1" applyFont="1" applyBorder="1"/>
    <xf numFmtId="0" fontId="6" fillId="0" borderId="0" xfId="0" applyFont="1"/>
    <xf numFmtId="17" fontId="2" fillId="0" borderId="0" xfId="0" applyNumberFormat="1" applyFont="1"/>
    <xf numFmtId="17" fontId="2" fillId="0" borderId="1" xfId="0" applyNumberFormat="1" applyFont="1" applyBorder="1"/>
    <xf numFmtId="0" fontId="7" fillId="0" borderId="0" xfId="0" applyFont="1"/>
    <xf numFmtId="0" fontId="4" fillId="2" borderId="0" xfId="2" applyFont="1"/>
    <xf numFmtId="164" fontId="4" fillId="2" borderId="0" xfId="2" applyNumberFormat="1" applyFont="1"/>
    <xf numFmtId="164" fontId="4" fillId="2" borderId="1" xfId="2" applyNumberFormat="1" applyFont="1" applyBorder="1"/>
    <xf numFmtId="0" fontId="2" fillId="3" borderId="0" xfId="3" applyFont="1"/>
    <xf numFmtId="164" fontId="2" fillId="3" borderId="0" xfId="3" applyNumberFormat="1" applyFont="1"/>
    <xf numFmtId="164" fontId="2" fillId="3" borderId="1" xfId="3" applyNumberFormat="1" applyFont="1" applyBorder="1"/>
    <xf numFmtId="0" fontId="4" fillId="4" borderId="0" xfId="4" applyFont="1"/>
    <xf numFmtId="164" fontId="4" fillId="4" borderId="0" xfId="4" applyNumberFormat="1" applyFont="1"/>
    <xf numFmtId="164" fontId="4" fillId="4" borderId="1" xfId="4" applyNumberFormat="1" applyFont="1" applyBorder="1"/>
    <xf numFmtId="0" fontId="0" fillId="0" borderId="2" xfId="0" applyBorder="1"/>
    <xf numFmtId="164" fontId="6" fillId="0" borderId="2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0" fillId="0" borderId="4" xfId="0" applyBorder="1"/>
    <xf numFmtId="164" fontId="6" fillId="0" borderId="4" xfId="1" applyNumberFormat="1" applyFont="1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0" fontId="0" fillId="0" borderId="6" xfId="0" applyBorder="1"/>
    <xf numFmtId="164" fontId="0" fillId="0" borderId="6" xfId="1" applyNumberFormat="1" applyFont="1" applyBorder="1"/>
    <xf numFmtId="164" fontId="0" fillId="0" borderId="7" xfId="1" applyNumberFormat="1" applyFont="1" applyBorder="1"/>
    <xf numFmtId="164" fontId="3" fillId="0" borderId="2" xfId="1" applyNumberFormat="1" applyFont="1" applyBorder="1"/>
    <xf numFmtId="164" fontId="6" fillId="0" borderId="3" xfId="1" applyNumberFormat="1" applyFont="1" applyBorder="1"/>
    <xf numFmtId="164" fontId="3" fillId="0" borderId="4" xfId="1" applyNumberFormat="1" applyFont="1" applyBorder="1"/>
    <xf numFmtId="164" fontId="5" fillId="5" borderId="4" xfId="5" applyNumberFormat="1" applyBorder="1"/>
    <xf numFmtId="164" fontId="5" fillId="5" borderId="2" xfId="5" applyNumberFormat="1" applyBorder="1"/>
    <xf numFmtId="164" fontId="6" fillId="0" borderId="5" xfId="1" applyNumberFormat="1" applyFont="1" applyBorder="1"/>
    <xf numFmtId="164" fontId="3" fillId="0" borderId="8" xfId="1" applyNumberFormat="1" applyFont="1" applyBorder="1"/>
    <xf numFmtId="164" fontId="6" fillId="0" borderId="8" xfId="1" applyNumberFormat="1" applyFont="1" applyBorder="1"/>
    <xf numFmtId="164" fontId="0" fillId="0" borderId="9" xfId="1" applyNumberFormat="1" applyFont="1" applyBorder="1"/>
    <xf numFmtId="164" fontId="0" fillId="0" borderId="8" xfId="1" applyNumberFormat="1" applyFont="1" applyBorder="1"/>
    <xf numFmtId="164" fontId="8" fillId="0" borderId="3" xfId="1" applyNumberFormat="1" applyFont="1" applyBorder="1"/>
    <xf numFmtId="164" fontId="8" fillId="0" borderId="4" xfId="1" applyNumberFormat="1" applyFont="1" applyBorder="1"/>
    <xf numFmtId="164" fontId="8" fillId="0" borderId="5" xfId="1" applyNumberFormat="1" applyFont="1" applyBorder="1"/>
    <xf numFmtId="164" fontId="6" fillId="6" borderId="8" xfId="1" applyNumberFormat="1" applyFont="1" applyFill="1" applyBorder="1"/>
    <xf numFmtId="164" fontId="6" fillId="6" borderId="4" xfId="1" applyNumberFormat="1" applyFont="1" applyFill="1" applyBorder="1"/>
    <xf numFmtId="164" fontId="6" fillId="0" borderId="0" xfId="1" applyNumberFormat="1" applyFont="1" applyBorder="1"/>
    <xf numFmtId="164" fontId="0" fillId="0" borderId="0" xfId="1" applyNumberFormat="1" applyFont="1" applyBorder="1"/>
    <xf numFmtId="164" fontId="0" fillId="7" borderId="2" xfId="1" applyNumberFormat="1" applyFont="1" applyFill="1" applyBorder="1"/>
    <xf numFmtId="164" fontId="0" fillId="7" borderId="0" xfId="1" applyNumberFormat="1" applyFont="1" applyFill="1"/>
    <xf numFmtId="164" fontId="6" fillId="7" borderId="4" xfId="1" applyNumberFormat="1" applyFont="1" applyFill="1" applyBorder="1"/>
    <xf numFmtId="164" fontId="0" fillId="6" borderId="8" xfId="1" applyNumberFormat="1" applyFont="1" applyFill="1" applyBorder="1"/>
    <xf numFmtId="164" fontId="8" fillId="6" borderId="4" xfId="1" applyNumberFormat="1" applyFont="1" applyFill="1" applyBorder="1"/>
    <xf numFmtId="164" fontId="0" fillId="6" borderId="4" xfId="1" applyNumberFormat="1" applyFont="1" applyFill="1" applyBorder="1"/>
    <xf numFmtId="17" fontId="2" fillId="0" borderId="10" xfId="0" applyNumberFormat="1" applyFont="1" applyBorder="1"/>
    <xf numFmtId="164" fontId="0" fillId="0" borderId="11" xfId="1" applyNumberFormat="1" applyFont="1" applyBorder="1"/>
    <xf numFmtId="164" fontId="0" fillId="0" borderId="10" xfId="1" applyNumberFormat="1" applyFont="1" applyBorder="1"/>
    <xf numFmtId="164" fontId="2" fillId="3" borderId="10" xfId="3" applyNumberFormat="1" applyFont="1" applyBorder="1"/>
    <xf numFmtId="164" fontId="0" fillId="0" borderId="12" xfId="1" applyNumberFormat="1" applyFont="1" applyBorder="1"/>
    <xf numFmtId="164" fontId="4" fillId="2" borderId="10" xfId="2" applyNumberFormat="1" applyFont="1" applyBorder="1"/>
    <xf numFmtId="164" fontId="6" fillId="0" borderId="13" xfId="1" applyNumberFormat="1" applyFont="1" applyBorder="1"/>
    <xf numFmtId="164" fontId="6" fillId="0" borderId="11" xfId="1" applyNumberFormat="1" applyFont="1" applyBorder="1"/>
    <xf numFmtId="164" fontId="0" fillId="0" borderId="14" xfId="1" applyNumberFormat="1" applyFont="1" applyBorder="1"/>
    <xf numFmtId="164" fontId="8" fillId="0" borderId="13" xfId="1" applyNumberFormat="1" applyFont="1" applyBorder="1"/>
    <xf numFmtId="164" fontId="0" fillId="0" borderId="13" xfId="1" applyNumberFormat="1" applyFont="1" applyBorder="1"/>
    <xf numFmtId="164" fontId="4" fillId="4" borderId="10" xfId="4" applyNumberFormat="1" applyFont="1" applyBorder="1"/>
    <xf numFmtId="164" fontId="6" fillId="6" borderId="2" xfId="1" applyNumberFormat="1" applyFont="1" applyFill="1" applyBorder="1"/>
    <xf numFmtId="14" fontId="0" fillId="0" borderId="0" xfId="0" applyNumberFormat="1"/>
    <xf numFmtId="164" fontId="0" fillId="0" borderId="5" xfId="1" applyNumberFormat="1" applyFont="1" applyFill="1" applyBorder="1"/>
    <xf numFmtId="164" fontId="0" fillId="0" borderId="4" xfId="1" applyNumberFormat="1" applyFont="1" applyFill="1" applyBorder="1"/>
    <xf numFmtId="164" fontId="8" fillId="0" borderId="5" xfId="1" applyNumberFormat="1" applyFont="1" applyFill="1" applyBorder="1"/>
    <xf numFmtId="164" fontId="8" fillId="0" borderId="4" xfId="1" applyNumberFormat="1" applyFont="1" applyFill="1" applyBorder="1"/>
    <xf numFmtId="164" fontId="6" fillId="0" borderId="15" xfId="1" applyNumberFormat="1" applyFont="1" applyBorder="1"/>
    <xf numFmtId="164" fontId="6" fillId="0" borderId="2" xfId="1" applyNumberFormat="1" applyFont="1" applyFill="1" applyBorder="1"/>
    <xf numFmtId="164" fontId="6" fillId="6" borderId="11" xfId="1" applyNumberFormat="1" applyFont="1" applyFill="1" applyBorder="1"/>
    <xf numFmtId="164" fontId="0" fillId="8" borderId="4" xfId="1" applyNumberFormat="1" applyFont="1" applyFill="1" applyBorder="1"/>
    <xf numFmtId="164" fontId="0" fillId="0" borderId="0" xfId="0" applyNumberFormat="1"/>
    <xf numFmtId="0" fontId="0" fillId="0" borderId="0" xfId="0" applyAlignment="1">
      <alignment horizontal="left"/>
    </xf>
    <xf numFmtId="164" fontId="8" fillId="0" borderId="11" xfId="1" applyNumberFormat="1" applyFont="1" applyFill="1" applyBorder="1"/>
    <xf numFmtId="164" fontId="8" fillId="0" borderId="2" xfId="1" applyNumberFormat="1" applyFont="1" applyFill="1" applyBorder="1"/>
    <xf numFmtId="164" fontId="8" fillId="0" borderId="14" xfId="1" applyNumberFormat="1" applyFont="1" applyBorder="1"/>
    <xf numFmtId="164" fontId="11" fillId="0" borderId="11" xfId="1" applyNumberFormat="1" applyFont="1" applyFill="1" applyBorder="1"/>
    <xf numFmtId="164" fontId="11" fillId="0" borderId="2" xfId="1" applyNumberFormat="1" applyFont="1" applyFill="1" applyBorder="1"/>
    <xf numFmtId="164" fontId="11" fillId="0" borderId="2" xfId="1" applyNumberFormat="1" applyFont="1" applyBorder="1"/>
    <xf numFmtId="164" fontId="12" fillId="0" borderId="4" xfId="1" applyNumberFormat="1" applyFont="1" applyBorder="1"/>
    <xf numFmtId="164" fontId="8" fillId="6" borderId="13" xfId="1" applyNumberFormat="1" applyFont="1" applyFill="1" applyBorder="1"/>
    <xf numFmtId="0" fontId="0" fillId="9" borderId="4" xfId="0" applyFill="1" applyBorder="1"/>
    <xf numFmtId="0" fontId="0" fillId="9" borderId="16" xfId="0" applyFill="1" applyBorder="1"/>
    <xf numFmtId="164" fontId="8" fillId="7" borderId="13" xfId="1" applyNumberFormat="1" applyFont="1" applyFill="1" applyBorder="1"/>
    <xf numFmtId="164" fontId="8" fillId="7" borderId="4" xfId="1" applyNumberFormat="1" applyFont="1" applyFill="1" applyBorder="1"/>
    <xf numFmtId="164" fontId="0" fillId="7" borderId="14" xfId="1" applyNumberFormat="1" applyFont="1" applyFill="1" applyBorder="1"/>
    <xf numFmtId="164" fontId="0" fillId="7" borderId="8" xfId="1" applyNumberFormat="1" applyFont="1" applyFill="1" applyBorder="1"/>
    <xf numFmtId="164" fontId="6" fillId="6" borderId="13" xfId="1" applyNumberFormat="1" applyFont="1" applyFill="1" applyBorder="1"/>
    <xf numFmtId="164" fontId="6" fillId="0" borderId="11" xfId="1" applyNumberFormat="1" applyFont="1" applyFill="1" applyBorder="1"/>
  </cellXfs>
  <cellStyles count="6">
    <cellStyle name="40% - Accent1" xfId="3" builtinId="31"/>
    <cellStyle name="Accent1" xfId="2" builtinId="29"/>
    <cellStyle name="Accent2" xfId="4" builtinId="33"/>
    <cellStyle name="Accent4" xfId="5" builtinId="41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CashFlow!$B$5</c:f>
              <c:strCache>
                <c:ptCount val="1"/>
                <c:pt idx="0">
                  <c:v>Cash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CashFlow!$C$4:$AZ$4</c:f>
              <c:numCache>
                <c:formatCode>mmm\-yy</c:formatCode>
                <c:ptCount val="50"/>
                <c:pt idx="0" formatCode="m/d/yyyy">
                  <c:v>43453</c:v>
                </c:pt>
                <c:pt idx="1">
                  <c:v>43465</c:v>
                </c:pt>
                <c:pt idx="2">
                  <c:v>43496</c:v>
                </c:pt>
                <c:pt idx="3">
                  <c:v>43524</c:v>
                </c:pt>
                <c:pt idx="4">
                  <c:v>43555</c:v>
                </c:pt>
                <c:pt idx="5">
                  <c:v>43585</c:v>
                </c:pt>
                <c:pt idx="6">
                  <c:v>43616</c:v>
                </c:pt>
                <c:pt idx="7">
                  <c:v>43646</c:v>
                </c:pt>
                <c:pt idx="8">
                  <c:v>43677</c:v>
                </c:pt>
                <c:pt idx="9">
                  <c:v>43708</c:v>
                </c:pt>
                <c:pt idx="10">
                  <c:v>43738</c:v>
                </c:pt>
                <c:pt idx="11">
                  <c:v>43769</c:v>
                </c:pt>
                <c:pt idx="12">
                  <c:v>43799</c:v>
                </c:pt>
                <c:pt idx="13">
                  <c:v>43830</c:v>
                </c:pt>
                <c:pt idx="14">
                  <c:v>43861</c:v>
                </c:pt>
                <c:pt idx="15">
                  <c:v>43890</c:v>
                </c:pt>
                <c:pt idx="16">
                  <c:v>43921</c:v>
                </c:pt>
                <c:pt idx="17">
                  <c:v>43951</c:v>
                </c:pt>
                <c:pt idx="18">
                  <c:v>43982</c:v>
                </c:pt>
                <c:pt idx="19">
                  <c:v>44012</c:v>
                </c:pt>
                <c:pt idx="20">
                  <c:v>44043</c:v>
                </c:pt>
                <c:pt idx="21">
                  <c:v>44074</c:v>
                </c:pt>
                <c:pt idx="22">
                  <c:v>44104</c:v>
                </c:pt>
                <c:pt idx="23">
                  <c:v>44135</c:v>
                </c:pt>
                <c:pt idx="24">
                  <c:v>44165</c:v>
                </c:pt>
                <c:pt idx="25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  <c:pt idx="38">
                  <c:v>44592</c:v>
                </c:pt>
                <c:pt idx="39">
                  <c:v>44620</c:v>
                </c:pt>
                <c:pt idx="40">
                  <c:v>44651</c:v>
                </c:pt>
                <c:pt idx="41">
                  <c:v>44681</c:v>
                </c:pt>
                <c:pt idx="42">
                  <c:v>44712</c:v>
                </c:pt>
                <c:pt idx="43">
                  <c:v>44742</c:v>
                </c:pt>
                <c:pt idx="44">
                  <c:v>44773</c:v>
                </c:pt>
                <c:pt idx="45">
                  <c:v>44804</c:v>
                </c:pt>
                <c:pt idx="46">
                  <c:v>44834</c:v>
                </c:pt>
                <c:pt idx="47">
                  <c:v>44865</c:v>
                </c:pt>
                <c:pt idx="48">
                  <c:v>44895</c:v>
                </c:pt>
                <c:pt idx="49">
                  <c:v>44926</c:v>
                </c:pt>
              </c:numCache>
            </c:numRef>
          </c:cat>
          <c:val>
            <c:numRef>
              <c:f>CashFlow!$C$5:$AZ$5</c:f>
              <c:numCache>
                <c:formatCode>_ * #,##0_ ;_ * \-#,##0_ ;_ * "-"??_ ;_ @_ </c:formatCode>
                <c:ptCount val="50"/>
                <c:pt idx="0">
                  <c:v>35000</c:v>
                </c:pt>
                <c:pt idx="1">
                  <c:v>38700</c:v>
                </c:pt>
                <c:pt idx="2">
                  <c:v>42400</c:v>
                </c:pt>
                <c:pt idx="3">
                  <c:v>66583</c:v>
                </c:pt>
                <c:pt idx="4">
                  <c:v>50283</c:v>
                </c:pt>
                <c:pt idx="5">
                  <c:v>53983</c:v>
                </c:pt>
                <c:pt idx="6">
                  <c:v>57683</c:v>
                </c:pt>
                <c:pt idx="7">
                  <c:v>48683</c:v>
                </c:pt>
                <c:pt idx="8">
                  <c:v>56483</c:v>
                </c:pt>
                <c:pt idx="9">
                  <c:v>68783</c:v>
                </c:pt>
                <c:pt idx="10">
                  <c:v>-11417</c:v>
                </c:pt>
                <c:pt idx="11">
                  <c:v>-1617</c:v>
                </c:pt>
                <c:pt idx="12">
                  <c:v>8183</c:v>
                </c:pt>
                <c:pt idx="13">
                  <c:v>-3817</c:v>
                </c:pt>
                <c:pt idx="14">
                  <c:v>168</c:v>
                </c:pt>
                <c:pt idx="15">
                  <c:v>19668</c:v>
                </c:pt>
                <c:pt idx="16">
                  <c:v>24168</c:v>
                </c:pt>
                <c:pt idx="17">
                  <c:v>28668</c:v>
                </c:pt>
                <c:pt idx="18">
                  <c:v>31016</c:v>
                </c:pt>
                <c:pt idx="19">
                  <c:v>21741</c:v>
                </c:pt>
                <c:pt idx="20">
                  <c:v>30241</c:v>
                </c:pt>
                <c:pt idx="21">
                  <c:v>38741</c:v>
                </c:pt>
                <c:pt idx="22">
                  <c:v>47241</c:v>
                </c:pt>
                <c:pt idx="23">
                  <c:v>54941</c:v>
                </c:pt>
                <c:pt idx="24">
                  <c:v>59641</c:v>
                </c:pt>
                <c:pt idx="25">
                  <c:v>13221</c:v>
                </c:pt>
                <c:pt idx="26">
                  <c:v>31551</c:v>
                </c:pt>
                <c:pt idx="27">
                  <c:v>9986</c:v>
                </c:pt>
                <c:pt idx="28">
                  <c:v>42066</c:v>
                </c:pt>
                <c:pt idx="29">
                  <c:v>64146</c:v>
                </c:pt>
                <c:pt idx="30">
                  <c:v>64126</c:v>
                </c:pt>
                <c:pt idx="31">
                  <c:v>63098</c:v>
                </c:pt>
                <c:pt idx="32">
                  <c:v>67236</c:v>
                </c:pt>
                <c:pt idx="33">
                  <c:v>78758</c:v>
                </c:pt>
                <c:pt idx="34">
                  <c:v>86832</c:v>
                </c:pt>
                <c:pt idx="35">
                  <c:v>123388</c:v>
                </c:pt>
                <c:pt idx="36">
                  <c:v>142582</c:v>
                </c:pt>
                <c:pt idx="37">
                  <c:v>93276</c:v>
                </c:pt>
                <c:pt idx="38">
                  <c:v>94147.199999999997</c:v>
                </c:pt>
                <c:pt idx="39">
                  <c:v>56951.299999999996</c:v>
                </c:pt>
                <c:pt idx="40">
                  <c:v>42368.299999999996</c:v>
                </c:pt>
                <c:pt idx="41">
                  <c:v>12821.599999999995</c:v>
                </c:pt>
                <c:pt idx="42">
                  <c:v>21113.699999999993</c:v>
                </c:pt>
                <c:pt idx="43">
                  <c:v>18036.499999999993</c:v>
                </c:pt>
                <c:pt idx="44">
                  <c:v>11411.799999999992</c:v>
                </c:pt>
                <c:pt idx="45">
                  <c:v>5805.799999999992</c:v>
                </c:pt>
                <c:pt idx="46">
                  <c:v>15347.499999999993</c:v>
                </c:pt>
                <c:pt idx="47">
                  <c:v>30237.099999999991</c:v>
                </c:pt>
                <c:pt idx="48">
                  <c:v>32742.099999999991</c:v>
                </c:pt>
                <c:pt idx="49">
                  <c:v>29174.499999999993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F7-4C8D-8BF5-B3F9C7AA8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5658384"/>
        <c:axId val="803545408"/>
      </c:lineChart>
      <c:dateAx>
        <c:axId val="7456583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803545408"/>
        <c:crosses val="autoZero"/>
        <c:auto val="0"/>
        <c:lblOffset val="100"/>
        <c:baseTimeUnit val="days"/>
      </c:dateAx>
      <c:valAx>
        <c:axId val="80354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4565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CashFlow!$B$69</c:f>
              <c:strCache>
                <c:ptCount val="1"/>
                <c:pt idx="0">
                  <c:v>Net Cashflow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CashFlow!$C$4:$AZ$4</c:f>
              <c:numCache>
                <c:formatCode>mmm\-yy</c:formatCode>
                <c:ptCount val="50"/>
                <c:pt idx="0" formatCode="m/d/yyyy">
                  <c:v>43453</c:v>
                </c:pt>
                <c:pt idx="1">
                  <c:v>43465</c:v>
                </c:pt>
                <c:pt idx="2">
                  <c:v>43496</c:v>
                </c:pt>
                <c:pt idx="3">
                  <c:v>43524</c:v>
                </c:pt>
                <c:pt idx="4">
                  <c:v>43555</c:v>
                </c:pt>
                <c:pt idx="5">
                  <c:v>43585</c:v>
                </c:pt>
                <c:pt idx="6">
                  <c:v>43616</c:v>
                </c:pt>
                <c:pt idx="7">
                  <c:v>43646</c:v>
                </c:pt>
                <c:pt idx="8">
                  <c:v>43677</c:v>
                </c:pt>
                <c:pt idx="9">
                  <c:v>43708</c:v>
                </c:pt>
                <c:pt idx="10">
                  <c:v>43738</c:v>
                </c:pt>
                <c:pt idx="11">
                  <c:v>43769</c:v>
                </c:pt>
                <c:pt idx="12">
                  <c:v>43799</c:v>
                </c:pt>
                <c:pt idx="13">
                  <c:v>43830</c:v>
                </c:pt>
                <c:pt idx="14">
                  <c:v>43861</c:v>
                </c:pt>
                <c:pt idx="15">
                  <c:v>43890</c:v>
                </c:pt>
                <c:pt idx="16">
                  <c:v>43921</c:v>
                </c:pt>
                <c:pt idx="17">
                  <c:v>43951</c:v>
                </c:pt>
                <c:pt idx="18">
                  <c:v>43982</c:v>
                </c:pt>
                <c:pt idx="19">
                  <c:v>44012</c:v>
                </c:pt>
                <c:pt idx="20">
                  <c:v>44043</c:v>
                </c:pt>
                <c:pt idx="21">
                  <c:v>44074</c:v>
                </c:pt>
                <c:pt idx="22">
                  <c:v>44104</c:v>
                </c:pt>
                <c:pt idx="23">
                  <c:v>44135</c:v>
                </c:pt>
                <c:pt idx="24">
                  <c:v>44165</c:v>
                </c:pt>
                <c:pt idx="25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  <c:pt idx="38">
                  <c:v>44592</c:v>
                </c:pt>
                <c:pt idx="39">
                  <c:v>44620</c:v>
                </c:pt>
                <c:pt idx="40">
                  <c:v>44651</c:v>
                </c:pt>
                <c:pt idx="41">
                  <c:v>44681</c:v>
                </c:pt>
                <c:pt idx="42">
                  <c:v>44712</c:v>
                </c:pt>
                <c:pt idx="43">
                  <c:v>44742</c:v>
                </c:pt>
                <c:pt idx="44">
                  <c:v>44773</c:v>
                </c:pt>
                <c:pt idx="45">
                  <c:v>44804</c:v>
                </c:pt>
                <c:pt idx="46">
                  <c:v>44834</c:v>
                </c:pt>
                <c:pt idx="47">
                  <c:v>44865</c:v>
                </c:pt>
                <c:pt idx="48">
                  <c:v>44895</c:v>
                </c:pt>
                <c:pt idx="49">
                  <c:v>44926</c:v>
                </c:pt>
              </c:numCache>
            </c:numRef>
          </c:cat>
          <c:val>
            <c:numRef>
              <c:f>CashFlow!$C$69:$AZ$69</c:f>
              <c:numCache>
                <c:formatCode>_ * #,##0_ ;_ * \-#,##0_ ;_ * "-"??_ ;_ @_ </c:formatCode>
                <c:ptCount val="50"/>
                <c:pt idx="0">
                  <c:v>0</c:v>
                </c:pt>
                <c:pt idx="1">
                  <c:v>3700</c:v>
                </c:pt>
                <c:pt idx="2">
                  <c:v>3700</c:v>
                </c:pt>
                <c:pt idx="3">
                  <c:v>24183</c:v>
                </c:pt>
                <c:pt idx="4">
                  <c:v>-16300</c:v>
                </c:pt>
                <c:pt idx="5">
                  <c:v>3700</c:v>
                </c:pt>
                <c:pt idx="6">
                  <c:v>3700</c:v>
                </c:pt>
                <c:pt idx="7">
                  <c:v>-9000</c:v>
                </c:pt>
                <c:pt idx="8">
                  <c:v>7800</c:v>
                </c:pt>
                <c:pt idx="9">
                  <c:v>12300</c:v>
                </c:pt>
                <c:pt idx="10">
                  <c:v>-80200</c:v>
                </c:pt>
                <c:pt idx="11">
                  <c:v>9800</c:v>
                </c:pt>
                <c:pt idx="12">
                  <c:v>9800</c:v>
                </c:pt>
                <c:pt idx="13">
                  <c:v>-12000</c:v>
                </c:pt>
                <c:pt idx="14">
                  <c:v>3985</c:v>
                </c:pt>
                <c:pt idx="15">
                  <c:v>19500</c:v>
                </c:pt>
                <c:pt idx="16">
                  <c:v>4500</c:v>
                </c:pt>
                <c:pt idx="17">
                  <c:v>4500</c:v>
                </c:pt>
                <c:pt idx="18">
                  <c:v>2348</c:v>
                </c:pt>
                <c:pt idx="19">
                  <c:v>-9275</c:v>
                </c:pt>
                <c:pt idx="20">
                  <c:v>8500</c:v>
                </c:pt>
                <c:pt idx="21">
                  <c:v>8500</c:v>
                </c:pt>
                <c:pt idx="22">
                  <c:v>8500</c:v>
                </c:pt>
                <c:pt idx="23">
                  <c:v>7700</c:v>
                </c:pt>
                <c:pt idx="24">
                  <c:v>4700</c:v>
                </c:pt>
                <c:pt idx="25">
                  <c:v>-46420</c:v>
                </c:pt>
                <c:pt idx="26">
                  <c:v>18330</c:v>
                </c:pt>
                <c:pt idx="27">
                  <c:v>-21565</c:v>
                </c:pt>
                <c:pt idx="28">
                  <c:v>32080</c:v>
                </c:pt>
                <c:pt idx="29">
                  <c:v>22080</c:v>
                </c:pt>
                <c:pt idx="30">
                  <c:v>-20</c:v>
                </c:pt>
                <c:pt idx="31">
                  <c:v>-1028</c:v>
                </c:pt>
                <c:pt idx="32">
                  <c:v>4138</c:v>
                </c:pt>
                <c:pt idx="33">
                  <c:v>11522</c:v>
                </c:pt>
                <c:pt idx="34">
                  <c:v>8074</c:v>
                </c:pt>
                <c:pt idx="35">
                  <c:v>36556</c:v>
                </c:pt>
                <c:pt idx="36">
                  <c:v>19194</c:v>
                </c:pt>
                <c:pt idx="37">
                  <c:v>-49306</c:v>
                </c:pt>
                <c:pt idx="38">
                  <c:v>871.19999999999709</c:v>
                </c:pt>
                <c:pt idx="39">
                  <c:v>-37195.9</c:v>
                </c:pt>
                <c:pt idx="40">
                  <c:v>-14583</c:v>
                </c:pt>
                <c:pt idx="41">
                  <c:v>-29546.7</c:v>
                </c:pt>
                <c:pt idx="42">
                  <c:v>8292.0999999999985</c:v>
                </c:pt>
                <c:pt idx="43">
                  <c:v>-3077.2000000000007</c:v>
                </c:pt>
                <c:pt idx="44">
                  <c:v>-6624.7000000000007</c:v>
                </c:pt>
                <c:pt idx="45">
                  <c:v>-5606</c:v>
                </c:pt>
                <c:pt idx="46">
                  <c:v>9541.7000000000007</c:v>
                </c:pt>
                <c:pt idx="47">
                  <c:v>14889.599999999999</c:v>
                </c:pt>
                <c:pt idx="48">
                  <c:v>2505</c:v>
                </c:pt>
                <c:pt idx="49">
                  <c:v>-3567.5999999999985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4F-45D9-99F6-D0D86C30C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5658384"/>
        <c:axId val="803545408"/>
      </c:lineChart>
      <c:dateAx>
        <c:axId val="7456583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803545408"/>
        <c:crosses val="autoZero"/>
        <c:auto val="0"/>
        <c:lblOffset val="100"/>
        <c:baseTimeUnit val="days"/>
      </c:dateAx>
      <c:valAx>
        <c:axId val="80354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4565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CashFlow!$B$13</c:f>
              <c:strCache>
                <c:ptCount val="1"/>
                <c:pt idx="0">
                  <c:v>Net Assets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CashFlow!$C$4:$AZ$4</c:f>
              <c:numCache>
                <c:formatCode>mmm\-yy</c:formatCode>
                <c:ptCount val="50"/>
                <c:pt idx="0" formatCode="m/d/yyyy">
                  <c:v>43453</c:v>
                </c:pt>
                <c:pt idx="1">
                  <c:v>43465</c:v>
                </c:pt>
                <c:pt idx="2">
                  <c:v>43496</c:v>
                </c:pt>
                <c:pt idx="3">
                  <c:v>43524</c:v>
                </c:pt>
                <c:pt idx="4">
                  <c:v>43555</c:v>
                </c:pt>
                <c:pt idx="5">
                  <c:v>43585</c:v>
                </c:pt>
                <c:pt idx="6">
                  <c:v>43616</c:v>
                </c:pt>
                <c:pt idx="7">
                  <c:v>43646</c:v>
                </c:pt>
                <c:pt idx="8">
                  <c:v>43677</c:v>
                </c:pt>
                <c:pt idx="9">
                  <c:v>43708</c:v>
                </c:pt>
                <c:pt idx="10">
                  <c:v>43738</c:v>
                </c:pt>
                <c:pt idx="11">
                  <c:v>43769</c:v>
                </c:pt>
                <c:pt idx="12">
                  <c:v>43799</c:v>
                </c:pt>
                <c:pt idx="13">
                  <c:v>43830</c:v>
                </c:pt>
                <c:pt idx="14">
                  <c:v>43861</c:v>
                </c:pt>
                <c:pt idx="15">
                  <c:v>43890</c:v>
                </c:pt>
                <c:pt idx="16">
                  <c:v>43921</c:v>
                </c:pt>
                <c:pt idx="17">
                  <c:v>43951</c:v>
                </c:pt>
                <c:pt idx="18">
                  <c:v>43982</c:v>
                </c:pt>
                <c:pt idx="19">
                  <c:v>44012</c:v>
                </c:pt>
                <c:pt idx="20">
                  <c:v>44043</c:v>
                </c:pt>
                <c:pt idx="21">
                  <c:v>44074</c:v>
                </c:pt>
                <c:pt idx="22">
                  <c:v>44104</c:v>
                </c:pt>
                <c:pt idx="23">
                  <c:v>44135</c:v>
                </c:pt>
                <c:pt idx="24">
                  <c:v>44165</c:v>
                </c:pt>
                <c:pt idx="25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  <c:pt idx="38">
                  <c:v>44592</c:v>
                </c:pt>
                <c:pt idx="39">
                  <c:v>44620</c:v>
                </c:pt>
                <c:pt idx="40">
                  <c:v>44651</c:v>
                </c:pt>
                <c:pt idx="41">
                  <c:v>44681</c:v>
                </c:pt>
                <c:pt idx="42">
                  <c:v>44712</c:v>
                </c:pt>
                <c:pt idx="43">
                  <c:v>44742</c:v>
                </c:pt>
                <c:pt idx="44">
                  <c:v>44773</c:v>
                </c:pt>
                <c:pt idx="45">
                  <c:v>44804</c:v>
                </c:pt>
                <c:pt idx="46">
                  <c:v>44834</c:v>
                </c:pt>
                <c:pt idx="47">
                  <c:v>44865</c:v>
                </c:pt>
                <c:pt idx="48">
                  <c:v>44895</c:v>
                </c:pt>
                <c:pt idx="49">
                  <c:v>44926</c:v>
                </c:pt>
              </c:numCache>
            </c:numRef>
          </c:cat>
          <c:val>
            <c:numRef>
              <c:f>CashFlow!$C$13:$AZ$13</c:f>
              <c:numCache>
                <c:formatCode>_ * #,##0_ ;_ * \-#,##0_ ;_ * "-"??_ ;_ @_ </c:formatCode>
                <c:ptCount val="50"/>
                <c:pt idx="0">
                  <c:v>35000</c:v>
                </c:pt>
                <c:pt idx="1">
                  <c:v>38700</c:v>
                </c:pt>
                <c:pt idx="2">
                  <c:v>42400</c:v>
                </c:pt>
                <c:pt idx="3">
                  <c:v>66583</c:v>
                </c:pt>
                <c:pt idx="4">
                  <c:v>50283</c:v>
                </c:pt>
                <c:pt idx="5">
                  <c:v>53983</c:v>
                </c:pt>
                <c:pt idx="6">
                  <c:v>57683</c:v>
                </c:pt>
                <c:pt idx="7">
                  <c:v>63683</c:v>
                </c:pt>
                <c:pt idx="8">
                  <c:v>71483</c:v>
                </c:pt>
                <c:pt idx="9">
                  <c:v>76283</c:v>
                </c:pt>
                <c:pt idx="10">
                  <c:v>-3917</c:v>
                </c:pt>
                <c:pt idx="11">
                  <c:v>5883</c:v>
                </c:pt>
                <c:pt idx="12">
                  <c:v>15683</c:v>
                </c:pt>
                <c:pt idx="13">
                  <c:v>3683</c:v>
                </c:pt>
                <c:pt idx="14">
                  <c:v>7668</c:v>
                </c:pt>
                <c:pt idx="15">
                  <c:v>27168</c:v>
                </c:pt>
                <c:pt idx="16">
                  <c:v>31668</c:v>
                </c:pt>
                <c:pt idx="17">
                  <c:v>36168</c:v>
                </c:pt>
                <c:pt idx="18">
                  <c:v>31016</c:v>
                </c:pt>
                <c:pt idx="19">
                  <c:v>21741</c:v>
                </c:pt>
                <c:pt idx="20">
                  <c:v>30241</c:v>
                </c:pt>
                <c:pt idx="21">
                  <c:v>38741</c:v>
                </c:pt>
                <c:pt idx="22">
                  <c:v>47241</c:v>
                </c:pt>
                <c:pt idx="23">
                  <c:v>54941</c:v>
                </c:pt>
                <c:pt idx="24">
                  <c:v>59641</c:v>
                </c:pt>
                <c:pt idx="25">
                  <c:v>13221</c:v>
                </c:pt>
                <c:pt idx="26">
                  <c:v>31551</c:v>
                </c:pt>
                <c:pt idx="27">
                  <c:v>9986</c:v>
                </c:pt>
                <c:pt idx="28">
                  <c:v>42066</c:v>
                </c:pt>
                <c:pt idx="29">
                  <c:v>64146</c:v>
                </c:pt>
                <c:pt idx="30">
                  <c:v>64126</c:v>
                </c:pt>
                <c:pt idx="31">
                  <c:v>63098</c:v>
                </c:pt>
                <c:pt idx="32">
                  <c:v>67236</c:v>
                </c:pt>
                <c:pt idx="33">
                  <c:v>78758</c:v>
                </c:pt>
                <c:pt idx="34">
                  <c:v>86832</c:v>
                </c:pt>
                <c:pt idx="35">
                  <c:v>123388</c:v>
                </c:pt>
                <c:pt idx="36">
                  <c:v>142582</c:v>
                </c:pt>
                <c:pt idx="37">
                  <c:v>93276</c:v>
                </c:pt>
                <c:pt idx="38">
                  <c:v>94147.199999999997</c:v>
                </c:pt>
                <c:pt idx="39">
                  <c:v>56951.299999999996</c:v>
                </c:pt>
                <c:pt idx="40">
                  <c:v>42368.299999999996</c:v>
                </c:pt>
                <c:pt idx="41">
                  <c:v>12821.599999999995</c:v>
                </c:pt>
                <c:pt idx="42">
                  <c:v>21113.699999999993</c:v>
                </c:pt>
                <c:pt idx="43">
                  <c:v>18036.499999999993</c:v>
                </c:pt>
                <c:pt idx="44">
                  <c:v>11411.799999999992</c:v>
                </c:pt>
                <c:pt idx="45">
                  <c:v>5805.799999999992</c:v>
                </c:pt>
                <c:pt idx="46">
                  <c:v>15347.499999999993</c:v>
                </c:pt>
                <c:pt idx="47">
                  <c:v>30237.099999999991</c:v>
                </c:pt>
                <c:pt idx="48">
                  <c:v>32742.099999999991</c:v>
                </c:pt>
                <c:pt idx="49">
                  <c:v>29174.499999999993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71-40D4-A0AA-F8E7A72E8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5658384"/>
        <c:axId val="803545408"/>
      </c:lineChart>
      <c:dateAx>
        <c:axId val="7456583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803545408"/>
        <c:crosses val="autoZero"/>
        <c:auto val="0"/>
        <c:lblOffset val="100"/>
        <c:baseTimeUnit val="days"/>
      </c:dateAx>
      <c:valAx>
        <c:axId val="80354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4565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71</xdr:row>
      <xdr:rowOff>66261</xdr:rowOff>
    </xdr:from>
    <xdr:to>
      <xdr:col>13</xdr:col>
      <xdr:colOff>0</xdr:colOff>
      <xdr:row>90</xdr:row>
      <xdr:rowOff>66261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81673A-00AB-4725-A053-97058B0A7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71</xdr:row>
      <xdr:rowOff>74544</xdr:rowOff>
    </xdr:from>
    <xdr:to>
      <xdr:col>25</xdr:col>
      <xdr:colOff>95250</xdr:colOff>
      <xdr:row>90</xdr:row>
      <xdr:rowOff>74544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4808F2-15F6-4D41-B60C-652259229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91</xdr:row>
      <xdr:rowOff>0</xdr:rowOff>
    </xdr:from>
    <xdr:to>
      <xdr:col>13</xdr:col>
      <xdr:colOff>0</xdr:colOff>
      <xdr:row>110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9CD3EB-02E4-480D-8097-7EDF3B55D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c Hauser" id="{97B4CCC2-ECA1-4054-A38B-7F8438ABE558}" userId="856503683fb0cae7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F24" dT="2025-08-29T12:35:54.81" personId="{97B4CCC2-ECA1-4054-A38B-7F8438ABE558}" id="{77FFFB3B-3478-4902-8FBB-47FA6214A9A2}">
    <text>Selling CRO at 0.34</text>
  </threadedComment>
  <threadedComment ref="CE53" dT="2025-08-29T11:52:17.24" personId="{97B4CCC2-ECA1-4054-A38B-7F8438ABE558}" id="{7A2A6F35-55D3-4591-9C91-EB60C76F3B7C}">
    <text>Sanja Augen lasern</text>
  </threadedComment>
  <threadedComment ref="BY59" dT="2025-08-29T13:39:05.21" personId="{97B4CCC2-ECA1-4054-A38B-7F8438ABE558}" id="{6F5BF112-06A4-415B-9E29-22D52A04B129}">
    <text xml:space="preserve">Refunded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F9B5-93BE-407D-BA4C-A82DE871B462}">
  <dimension ref="B1:DH75"/>
  <sheetViews>
    <sheetView showGridLines="0" tabSelected="1" zoomScale="115" zoomScaleNormal="115" workbookViewId="0">
      <pane xSplit="2" ySplit="4" topLeftCell="CE5" activePane="bottomRight" state="frozen"/>
      <selection pane="topRight" activeCell="C1" sqref="C1"/>
      <selection pane="bottomLeft" activeCell="A5" sqref="A5"/>
      <selection pane="bottomRight" activeCell="CM17" sqref="CM17"/>
    </sheetView>
  </sheetViews>
  <sheetFormatPr defaultRowHeight="15" outlineLevelCol="1" x14ac:dyDescent="0.25"/>
  <cols>
    <col min="1" max="1" width="3.28515625" customWidth="1"/>
    <col min="2" max="2" width="23.85546875" bestFit="1" customWidth="1"/>
    <col min="3" max="3" width="10.7109375" customWidth="1" outlineLevel="1"/>
    <col min="4" max="25" width="8.7109375" customWidth="1" outlineLevel="1"/>
    <col min="26" max="26" width="8.7109375" customWidth="1" outlineLevel="1" collapsed="1"/>
    <col min="27" max="32" width="8.7109375" customWidth="1" outlineLevel="1"/>
    <col min="33" max="33" width="11.140625" customWidth="1" outlineLevel="1"/>
    <col min="34" max="37" width="8.7109375" customWidth="1" outlineLevel="1"/>
    <col min="38" max="38" width="9.28515625" customWidth="1" outlineLevel="1"/>
    <col min="39" max="39" width="11.140625" customWidth="1" outlineLevel="1"/>
    <col min="40" max="48" width="8.7109375" customWidth="1" outlineLevel="1"/>
    <col min="49" max="49" width="11.140625" customWidth="1" outlineLevel="1"/>
    <col min="50" max="50" width="8.7109375" customWidth="1" outlineLevel="1"/>
    <col min="51" max="52" width="8.7109375" customWidth="1"/>
    <col min="53" max="53" width="11.140625" bestFit="1" customWidth="1"/>
    <col min="54" max="54" width="9.28515625" bestFit="1" customWidth="1"/>
    <col min="55" max="56" width="11.140625" bestFit="1" customWidth="1"/>
    <col min="57" max="64" width="9.28515625" bestFit="1" customWidth="1"/>
    <col min="65" max="65" width="11.5703125" customWidth="1"/>
    <col min="66" max="66" width="11.140625" bestFit="1" customWidth="1"/>
    <col min="67" max="67" width="8.7109375" customWidth="1"/>
    <col min="68" max="68" width="11.140625" bestFit="1" customWidth="1"/>
    <col min="69" max="76" width="8.7109375" customWidth="1"/>
    <col min="77" max="77" width="11.5703125" customWidth="1"/>
    <col min="78" max="79" width="8.7109375" customWidth="1"/>
    <col min="80" max="83" width="9.28515625" bestFit="1" customWidth="1"/>
    <col min="84" max="84" width="15.140625" customWidth="1"/>
    <col min="85" max="112" width="9.28515625" bestFit="1" customWidth="1"/>
  </cols>
  <sheetData>
    <row r="1" spans="2:112" x14ac:dyDescent="0.25">
      <c r="AQ1" s="1" t="s">
        <v>32</v>
      </c>
      <c r="CF1" s="1" t="s">
        <v>90</v>
      </c>
      <c r="CG1" t="s">
        <v>91</v>
      </c>
      <c r="CH1" t="s">
        <v>91</v>
      </c>
      <c r="CI1" s="1" t="s">
        <v>94</v>
      </c>
    </row>
    <row r="2" spans="2:112" ht="19.5" x14ac:dyDescent="0.3">
      <c r="B2" s="8" t="s">
        <v>0</v>
      </c>
      <c r="K2" s="5"/>
      <c r="Q2" s="5" t="s">
        <v>6</v>
      </c>
      <c r="AG2" s="65">
        <v>44337</v>
      </c>
      <c r="AM2" s="65">
        <v>44534</v>
      </c>
      <c r="AQ2" t="s">
        <v>33</v>
      </c>
      <c r="AR2" s="5">
        <v>20</v>
      </c>
      <c r="AW2" s="65">
        <v>44843</v>
      </c>
      <c r="BA2" s="65">
        <v>44939</v>
      </c>
      <c r="BC2" s="65">
        <v>45019</v>
      </c>
      <c r="BM2" s="65"/>
      <c r="BN2" s="65">
        <v>45352</v>
      </c>
      <c r="BP2" s="65">
        <v>45394</v>
      </c>
      <c r="BY2" s="65"/>
      <c r="CF2" s="65">
        <v>45898</v>
      </c>
      <c r="CK2" s="65"/>
    </row>
    <row r="3" spans="2:112" x14ac:dyDescent="0.25">
      <c r="Q3" s="5" t="s">
        <v>21</v>
      </c>
      <c r="Z3" s="47">
        <f>28*2*1000</f>
        <v>56000</v>
      </c>
      <c r="AG3" s="3">
        <f>21920+38500</f>
        <v>60420</v>
      </c>
      <c r="AM3" s="3">
        <f>127806+14735</f>
        <v>142541</v>
      </c>
      <c r="AQ3" t="s">
        <v>34</v>
      </c>
      <c r="AR3" s="5">
        <v>200</v>
      </c>
      <c r="BA3" s="3">
        <f>9291+4245</f>
        <v>13536</v>
      </c>
      <c r="BC3" s="3">
        <f>50000-18000</f>
        <v>32000</v>
      </c>
      <c r="BD3" s="3"/>
      <c r="BE3" s="3"/>
      <c r="BF3" s="3"/>
      <c r="BG3" s="3"/>
      <c r="BH3" s="3">
        <v>3174</v>
      </c>
      <c r="BI3" s="3">
        <v>611</v>
      </c>
      <c r="BJ3" s="3">
        <v>4833</v>
      </c>
      <c r="BK3" s="3">
        <v>16071</v>
      </c>
      <c r="BL3" s="3">
        <v>3623</v>
      </c>
      <c r="BM3" s="3">
        <v>20969</v>
      </c>
      <c r="BN3" s="3">
        <f>11419+4000+4000+2000</f>
        <v>21419</v>
      </c>
      <c r="BO3" s="3"/>
      <c r="BP3" s="3">
        <f>23500+5500+2000+1000+1000+1000</f>
        <v>34000</v>
      </c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>
        <f>35000+20000+9000+4000+8000+6000+6000</f>
        <v>88000</v>
      </c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</row>
    <row r="4" spans="2:112" s="1" customFormat="1" x14ac:dyDescent="0.25">
      <c r="B4" s="1" t="s">
        <v>1</v>
      </c>
      <c r="C4" s="2">
        <v>43453</v>
      </c>
      <c r="D4" s="6">
        <v>43465</v>
      </c>
      <c r="E4" s="7">
        <f>EOMONTH(D4,1)</f>
        <v>43496</v>
      </c>
      <c r="F4" s="6">
        <f t="shared" ref="F4:Z4" si="0">EOMONTH(E4,1)</f>
        <v>43524</v>
      </c>
      <c r="G4" s="6">
        <f t="shared" si="0"/>
        <v>43555</v>
      </c>
      <c r="H4" s="6">
        <f t="shared" si="0"/>
        <v>43585</v>
      </c>
      <c r="I4" s="6">
        <f t="shared" si="0"/>
        <v>43616</v>
      </c>
      <c r="J4" s="6">
        <f t="shared" si="0"/>
        <v>43646</v>
      </c>
      <c r="K4" s="6">
        <f t="shared" si="0"/>
        <v>43677</v>
      </c>
      <c r="L4" s="6">
        <f t="shared" si="0"/>
        <v>43708</v>
      </c>
      <c r="M4" s="6">
        <f t="shared" si="0"/>
        <v>43738</v>
      </c>
      <c r="N4" s="6">
        <f t="shared" si="0"/>
        <v>43769</v>
      </c>
      <c r="O4" s="6">
        <f t="shared" si="0"/>
        <v>43799</v>
      </c>
      <c r="P4" s="6">
        <f t="shared" si="0"/>
        <v>43830</v>
      </c>
      <c r="Q4" s="7">
        <f t="shared" si="0"/>
        <v>43861</v>
      </c>
      <c r="R4" s="6">
        <f t="shared" si="0"/>
        <v>43890</v>
      </c>
      <c r="S4" s="6">
        <f t="shared" si="0"/>
        <v>43921</v>
      </c>
      <c r="T4" s="6">
        <f t="shared" si="0"/>
        <v>43951</v>
      </c>
      <c r="U4" s="6">
        <f t="shared" si="0"/>
        <v>43982</v>
      </c>
      <c r="V4" s="6">
        <f t="shared" si="0"/>
        <v>44012</v>
      </c>
      <c r="W4" s="6">
        <f t="shared" si="0"/>
        <v>44043</v>
      </c>
      <c r="X4" s="6">
        <f t="shared" si="0"/>
        <v>44074</v>
      </c>
      <c r="Y4" s="6">
        <f t="shared" si="0"/>
        <v>44104</v>
      </c>
      <c r="Z4" s="6">
        <f t="shared" si="0"/>
        <v>44135</v>
      </c>
      <c r="AA4" s="6">
        <f t="shared" ref="AA4" si="1">EOMONTH(Z4,1)</f>
        <v>44165</v>
      </c>
      <c r="AB4" s="6">
        <f t="shared" ref="AB4" si="2">EOMONTH(AA4,1)</f>
        <v>44196</v>
      </c>
      <c r="AC4" s="7">
        <f t="shared" ref="AC4" si="3">EOMONTH(AB4,1)</f>
        <v>44227</v>
      </c>
      <c r="AD4" s="6">
        <f t="shared" ref="AD4" si="4">EOMONTH(AC4,1)</f>
        <v>44255</v>
      </c>
      <c r="AE4" s="6">
        <f t="shared" ref="AE4" si="5">EOMONTH(AD4,1)</f>
        <v>44286</v>
      </c>
      <c r="AF4" s="6">
        <f t="shared" ref="AF4" si="6">EOMONTH(AE4,1)</f>
        <v>44316</v>
      </c>
      <c r="AG4" s="6">
        <f t="shared" ref="AG4" si="7">EOMONTH(AF4,1)</f>
        <v>44347</v>
      </c>
      <c r="AH4" s="6">
        <f t="shared" ref="AH4" si="8">EOMONTH(AG4,1)</f>
        <v>44377</v>
      </c>
      <c r="AI4" s="6">
        <f t="shared" ref="AI4" si="9">EOMONTH(AH4,1)</f>
        <v>44408</v>
      </c>
      <c r="AJ4" s="6">
        <f t="shared" ref="AJ4" si="10">EOMONTH(AI4,1)</f>
        <v>44439</v>
      </c>
      <c r="AK4" s="6">
        <f t="shared" ref="AK4" si="11">EOMONTH(AJ4,1)</f>
        <v>44469</v>
      </c>
      <c r="AL4" s="6">
        <f t="shared" ref="AL4" si="12">EOMONTH(AK4,1)</f>
        <v>44500</v>
      </c>
      <c r="AM4" s="6">
        <f t="shared" ref="AM4" si="13">EOMONTH(AL4,1)</f>
        <v>44530</v>
      </c>
      <c r="AN4" s="6">
        <f t="shared" ref="AN4" si="14">EOMONTH(AM4,1)</f>
        <v>44561</v>
      </c>
      <c r="AO4" s="52">
        <f t="shared" ref="AO4" si="15">EOMONTH(AN4,1)</f>
        <v>44592</v>
      </c>
      <c r="AP4" s="6">
        <f t="shared" ref="AP4" si="16">EOMONTH(AO4,1)</f>
        <v>44620</v>
      </c>
      <c r="AQ4" s="6">
        <f t="shared" ref="AQ4" si="17">EOMONTH(AP4,1)</f>
        <v>44651</v>
      </c>
      <c r="AR4" s="6">
        <f t="shared" ref="AR4" si="18">EOMONTH(AQ4,1)</f>
        <v>44681</v>
      </c>
      <c r="AS4" s="6">
        <f t="shared" ref="AS4" si="19">EOMONTH(AR4,1)</f>
        <v>44712</v>
      </c>
      <c r="AT4" s="6">
        <f t="shared" ref="AT4" si="20">EOMONTH(AS4,1)</f>
        <v>44742</v>
      </c>
      <c r="AU4" s="6">
        <f t="shared" ref="AU4" si="21">EOMONTH(AT4,1)</f>
        <v>44773</v>
      </c>
      <c r="AV4" s="6">
        <f t="shared" ref="AV4" si="22">EOMONTH(AU4,1)</f>
        <v>44804</v>
      </c>
      <c r="AW4" s="6">
        <f t="shared" ref="AW4" si="23">EOMONTH(AV4,1)</f>
        <v>44834</v>
      </c>
      <c r="AX4" s="6">
        <f t="shared" ref="AX4" si="24">EOMONTH(AW4,1)</f>
        <v>44865</v>
      </c>
      <c r="AY4" s="6">
        <f t="shared" ref="AY4" si="25">EOMONTH(AX4,1)</f>
        <v>44895</v>
      </c>
      <c r="AZ4" s="6">
        <f t="shared" ref="AZ4" si="26">EOMONTH(AY4,1)</f>
        <v>44926</v>
      </c>
      <c r="BA4" s="52">
        <f>EOMONTH(AZ4,1)</f>
        <v>44957</v>
      </c>
      <c r="BB4" s="6">
        <f t="shared" ref="BB4" si="27">EOMONTH(BA4,1)</f>
        <v>44985</v>
      </c>
      <c r="BC4" s="6">
        <f t="shared" ref="BC4" si="28">EOMONTH(BB4,1)</f>
        <v>45016</v>
      </c>
      <c r="BD4" s="6">
        <f t="shared" ref="BD4" si="29">EOMONTH(BC4,1)</f>
        <v>45046</v>
      </c>
      <c r="BE4" s="6">
        <f t="shared" ref="BE4" si="30">EOMONTH(BD4,1)</f>
        <v>45077</v>
      </c>
      <c r="BF4" s="6">
        <f t="shared" ref="BF4" si="31">EOMONTH(BE4,1)</f>
        <v>45107</v>
      </c>
      <c r="BG4" s="6">
        <f t="shared" ref="BG4" si="32">EOMONTH(BF4,1)</f>
        <v>45138</v>
      </c>
      <c r="BH4" s="6">
        <f t="shared" ref="BH4" si="33">EOMONTH(BG4,1)</f>
        <v>45169</v>
      </c>
      <c r="BI4" s="6">
        <f t="shared" ref="BI4" si="34">EOMONTH(BH4,1)</f>
        <v>45199</v>
      </c>
      <c r="BJ4" s="6">
        <f t="shared" ref="BJ4" si="35">EOMONTH(BI4,1)</f>
        <v>45230</v>
      </c>
      <c r="BK4" s="6">
        <f t="shared" ref="BK4" si="36">EOMONTH(BJ4,1)</f>
        <v>45260</v>
      </c>
      <c r="BL4" s="6">
        <f t="shared" ref="BL4:BM4" si="37">EOMONTH(BK4,1)</f>
        <v>45291</v>
      </c>
      <c r="BM4" s="52">
        <f t="shared" si="37"/>
        <v>45322</v>
      </c>
      <c r="BN4" s="6">
        <f t="shared" ref="BN4" si="38">EOMONTH(BM4,1)</f>
        <v>45351</v>
      </c>
      <c r="BO4" s="6">
        <f t="shared" ref="BO4" si="39">EOMONTH(BN4,1)</f>
        <v>45382</v>
      </c>
      <c r="BP4" s="6">
        <f t="shared" ref="BP4" si="40">EOMONTH(BO4,1)</f>
        <v>45412</v>
      </c>
      <c r="BQ4" s="6">
        <f t="shared" ref="BQ4" si="41">EOMONTH(BP4,1)</f>
        <v>45443</v>
      </c>
      <c r="BR4" s="6">
        <f t="shared" ref="BR4" si="42">EOMONTH(BQ4,1)</f>
        <v>45473</v>
      </c>
      <c r="BS4" s="6">
        <f t="shared" ref="BS4" si="43">EOMONTH(BR4,1)</f>
        <v>45504</v>
      </c>
      <c r="BT4" s="6">
        <f t="shared" ref="BT4" si="44">EOMONTH(BS4,1)</f>
        <v>45535</v>
      </c>
      <c r="BU4" s="6">
        <f t="shared" ref="BU4" si="45">EOMONTH(BT4,1)</f>
        <v>45565</v>
      </c>
      <c r="BV4" s="6">
        <f t="shared" ref="BV4" si="46">EOMONTH(BU4,1)</f>
        <v>45596</v>
      </c>
      <c r="BW4" s="6">
        <f t="shared" ref="BW4" si="47">EOMONTH(BV4,1)</f>
        <v>45626</v>
      </c>
      <c r="BX4" s="6">
        <f t="shared" ref="BX4:BY4" si="48">EOMONTH(BW4,1)</f>
        <v>45657</v>
      </c>
      <c r="BY4" s="52">
        <f t="shared" si="48"/>
        <v>45688</v>
      </c>
      <c r="BZ4" s="6">
        <f t="shared" ref="BZ4" si="49">EOMONTH(BY4,1)</f>
        <v>45716</v>
      </c>
      <c r="CA4" s="6">
        <f t="shared" ref="CA4" si="50">EOMONTH(BZ4,1)</f>
        <v>45747</v>
      </c>
      <c r="CB4" s="6">
        <f t="shared" ref="CB4" si="51">EOMONTH(CA4,1)</f>
        <v>45777</v>
      </c>
      <c r="CC4" s="6">
        <f t="shared" ref="CC4" si="52">EOMONTH(CB4,1)</f>
        <v>45808</v>
      </c>
      <c r="CD4" s="6">
        <f t="shared" ref="CD4" si="53">EOMONTH(CC4,1)</f>
        <v>45838</v>
      </c>
      <c r="CE4" s="6">
        <f t="shared" ref="CE4" si="54">EOMONTH(CD4,1)</f>
        <v>45869</v>
      </c>
      <c r="CF4" s="6">
        <f t="shared" ref="CF4" si="55">EOMONTH(CE4,1)</f>
        <v>45900</v>
      </c>
      <c r="CG4" s="6">
        <f t="shared" ref="CG4" si="56">EOMONTH(CF4,1)</f>
        <v>45930</v>
      </c>
      <c r="CH4" s="6">
        <f t="shared" ref="CH4" si="57">EOMONTH(CG4,1)</f>
        <v>45961</v>
      </c>
      <c r="CI4" s="6">
        <f t="shared" ref="CI4" si="58">EOMONTH(CH4,1)</f>
        <v>45991</v>
      </c>
      <c r="CJ4" s="6">
        <f t="shared" ref="CJ4" si="59">EOMONTH(CI4,1)</f>
        <v>46022</v>
      </c>
      <c r="CK4" s="52">
        <f t="shared" ref="CK4" si="60">EOMONTH(CJ4,1)</f>
        <v>46053</v>
      </c>
      <c r="CL4" s="6">
        <f t="shared" ref="CL4" si="61">EOMONTH(CK4,1)</f>
        <v>46081</v>
      </c>
      <c r="CM4" s="6">
        <f t="shared" ref="CM4" si="62">EOMONTH(CL4,1)</f>
        <v>46112</v>
      </c>
      <c r="CN4" s="6">
        <f t="shared" ref="CN4" si="63">EOMONTH(CM4,1)</f>
        <v>46142</v>
      </c>
      <c r="CO4" s="6">
        <f t="shared" ref="CO4" si="64">EOMONTH(CN4,1)</f>
        <v>46173</v>
      </c>
      <c r="CP4" s="6">
        <f t="shared" ref="CP4" si="65">EOMONTH(CO4,1)</f>
        <v>46203</v>
      </c>
      <c r="CQ4" s="6">
        <f t="shared" ref="CQ4" si="66">EOMONTH(CP4,1)</f>
        <v>46234</v>
      </c>
      <c r="CR4" s="6">
        <f t="shared" ref="CR4" si="67">EOMONTH(CQ4,1)</f>
        <v>46265</v>
      </c>
      <c r="CS4" s="6">
        <f t="shared" ref="CS4" si="68">EOMONTH(CR4,1)</f>
        <v>46295</v>
      </c>
      <c r="CT4" s="6">
        <f t="shared" ref="CT4" si="69">EOMONTH(CS4,1)</f>
        <v>46326</v>
      </c>
      <c r="CU4" s="6">
        <f t="shared" ref="CU4" si="70">EOMONTH(CT4,1)</f>
        <v>46356</v>
      </c>
      <c r="CV4" s="6">
        <f t="shared" ref="CV4" si="71">EOMONTH(CU4,1)</f>
        <v>46387</v>
      </c>
      <c r="CW4" s="52">
        <f t="shared" ref="CW4" si="72">EOMONTH(CV4,1)</f>
        <v>46418</v>
      </c>
      <c r="CX4" s="6">
        <f t="shared" ref="CX4" si="73">EOMONTH(CW4,1)</f>
        <v>46446</v>
      </c>
      <c r="CY4" s="6">
        <f t="shared" ref="CY4" si="74">EOMONTH(CX4,1)</f>
        <v>46477</v>
      </c>
      <c r="CZ4" s="6">
        <f t="shared" ref="CZ4" si="75">EOMONTH(CY4,1)</f>
        <v>46507</v>
      </c>
      <c r="DA4" s="6">
        <f t="shared" ref="DA4" si="76">EOMONTH(CZ4,1)</f>
        <v>46538</v>
      </c>
      <c r="DB4" s="6">
        <f t="shared" ref="DB4" si="77">EOMONTH(DA4,1)</f>
        <v>46568</v>
      </c>
      <c r="DC4" s="6">
        <f t="shared" ref="DC4" si="78">EOMONTH(DB4,1)</f>
        <v>46599</v>
      </c>
      <c r="DD4" s="6">
        <f t="shared" ref="DD4" si="79">EOMONTH(DC4,1)</f>
        <v>46630</v>
      </c>
      <c r="DE4" s="6">
        <f t="shared" ref="DE4" si="80">EOMONTH(DD4,1)</f>
        <v>46660</v>
      </c>
      <c r="DF4" s="6">
        <f t="shared" ref="DF4" si="81">EOMONTH(DE4,1)</f>
        <v>46691</v>
      </c>
      <c r="DG4" s="6">
        <f t="shared" ref="DG4" si="82">EOMONTH(DF4,1)</f>
        <v>46721</v>
      </c>
      <c r="DH4" s="6">
        <f t="shared" ref="DH4" si="83">EOMONTH(DG4,1)</f>
        <v>46752</v>
      </c>
    </row>
    <row r="5" spans="2:112" x14ac:dyDescent="0.25">
      <c r="B5" s="18" t="s">
        <v>3</v>
      </c>
      <c r="C5" s="19">
        <v>35000</v>
      </c>
      <c r="D5" s="20">
        <f t="shared" ref="D5:AI5" si="84">C5+D69</f>
        <v>38700</v>
      </c>
      <c r="E5" s="21">
        <f t="shared" si="84"/>
        <v>42400</v>
      </c>
      <c r="F5" s="20">
        <f t="shared" si="84"/>
        <v>66583</v>
      </c>
      <c r="G5" s="20">
        <f t="shared" si="84"/>
        <v>50283</v>
      </c>
      <c r="H5" s="20">
        <f t="shared" si="84"/>
        <v>53983</v>
      </c>
      <c r="I5" s="20">
        <f t="shared" si="84"/>
        <v>57683</v>
      </c>
      <c r="J5" s="20">
        <f t="shared" si="84"/>
        <v>48683</v>
      </c>
      <c r="K5" s="20">
        <f t="shared" si="84"/>
        <v>56483</v>
      </c>
      <c r="L5" s="20">
        <f t="shared" si="84"/>
        <v>68783</v>
      </c>
      <c r="M5" s="20">
        <f t="shared" si="84"/>
        <v>-11417</v>
      </c>
      <c r="N5" s="20">
        <f t="shared" si="84"/>
        <v>-1617</v>
      </c>
      <c r="O5" s="20">
        <f t="shared" si="84"/>
        <v>8183</v>
      </c>
      <c r="P5" s="20">
        <f t="shared" si="84"/>
        <v>-3817</v>
      </c>
      <c r="Q5" s="21">
        <f t="shared" si="84"/>
        <v>168</v>
      </c>
      <c r="R5" s="20">
        <f t="shared" si="84"/>
        <v>19668</v>
      </c>
      <c r="S5" s="20">
        <f t="shared" si="84"/>
        <v>24168</v>
      </c>
      <c r="T5" s="20">
        <f t="shared" si="84"/>
        <v>28668</v>
      </c>
      <c r="U5" s="20">
        <f t="shared" si="84"/>
        <v>31016</v>
      </c>
      <c r="V5" s="20">
        <f t="shared" si="84"/>
        <v>21741</v>
      </c>
      <c r="W5" s="20">
        <f t="shared" si="84"/>
        <v>30241</v>
      </c>
      <c r="X5" s="20">
        <f t="shared" si="84"/>
        <v>38741</v>
      </c>
      <c r="Y5" s="20">
        <f t="shared" si="84"/>
        <v>47241</v>
      </c>
      <c r="Z5" s="46">
        <f t="shared" si="84"/>
        <v>54941</v>
      </c>
      <c r="AA5" s="20">
        <f t="shared" si="84"/>
        <v>59641</v>
      </c>
      <c r="AB5" s="20">
        <f t="shared" si="84"/>
        <v>13221</v>
      </c>
      <c r="AC5" s="21">
        <f t="shared" si="84"/>
        <v>31551</v>
      </c>
      <c r="AD5" s="20">
        <f t="shared" si="84"/>
        <v>9986</v>
      </c>
      <c r="AE5" s="20">
        <f t="shared" si="84"/>
        <v>42066</v>
      </c>
      <c r="AF5" s="20">
        <f t="shared" si="84"/>
        <v>64146</v>
      </c>
      <c r="AG5" s="20">
        <f t="shared" si="84"/>
        <v>64126</v>
      </c>
      <c r="AH5" s="20">
        <f t="shared" si="84"/>
        <v>63098</v>
      </c>
      <c r="AI5" s="20">
        <f t="shared" si="84"/>
        <v>67236</v>
      </c>
      <c r="AJ5" s="20">
        <f t="shared" ref="AJ5:BO5" si="85">AI5+AJ69</f>
        <v>78758</v>
      </c>
      <c r="AK5" s="20">
        <f t="shared" si="85"/>
        <v>86832</v>
      </c>
      <c r="AL5" s="20">
        <f t="shared" si="85"/>
        <v>123388</v>
      </c>
      <c r="AM5" s="20">
        <f t="shared" si="85"/>
        <v>142582</v>
      </c>
      <c r="AN5" s="20">
        <f t="shared" si="85"/>
        <v>93276</v>
      </c>
      <c r="AO5" s="53">
        <f t="shared" si="85"/>
        <v>94147.199999999997</v>
      </c>
      <c r="AP5" s="20">
        <f t="shared" si="85"/>
        <v>56951.299999999996</v>
      </c>
      <c r="AQ5" s="20">
        <f t="shared" si="85"/>
        <v>42368.299999999996</v>
      </c>
      <c r="AR5" s="20">
        <f t="shared" si="85"/>
        <v>12821.599999999995</v>
      </c>
      <c r="AS5" s="20">
        <f t="shared" si="85"/>
        <v>21113.699999999993</v>
      </c>
      <c r="AT5" s="20">
        <f t="shared" si="85"/>
        <v>18036.499999999993</v>
      </c>
      <c r="AU5" s="20">
        <f t="shared" si="85"/>
        <v>11411.799999999992</v>
      </c>
      <c r="AV5" s="20">
        <f t="shared" si="85"/>
        <v>5805.799999999992</v>
      </c>
      <c r="AW5" s="20">
        <f t="shared" si="85"/>
        <v>15347.499999999993</v>
      </c>
      <c r="AX5" s="20">
        <f t="shared" si="85"/>
        <v>30237.099999999991</v>
      </c>
      <c r="AY5" s="20">
        <f t="shared" si="85"/>
        <v>32742.099999999991</v>
      </c>
      <c r="AZ5" s="20">
        <f t="shared" si="85"/>
        <v>29174.499999999993</v>
      </c>
      <c r="BA5" s="53">
        <f t="shared" si="85"/>
        <v>13418.499999999993</v>
      </c>
      <c r="BB5" s="20">
        <f t="shared" si="85"/>
        <v>15407.499999999993</v>
      </c>
      <c r="BC5" s="20">
        <f t="shared" si="85"/>
        <v>31654.499999999993</v>
      </c>
      <c r="BD5" s="20">
        <f t="shared" si="85"/>
        <v>33377.499999999993</v>
      </c>
      <c r="BE5" s="20">
        <f t="shared" si="85"/>
        <v>22033.499999999993</v>
      </c>
      <c r="BF5" s="20">
        <f t="shared" si="85"/>
        <v>10689.499999999993</v>
      </c>
      <c r="BG5" s="20">
        <f t="shared" si="85"/>
        <v>6401.4999999999927</v>
      </c>
      <c r="BH5" s="20">
        <f t="shared" si="85"/>
        <v>3613.4999999999927</v>
      </c>
      <c r="BI5" s="20">
        <f t="shared" si="85"/>
        <v>825.49999999999272</v>
      </c>
      <c r="BJ5" s="20">
        <f t="shared" si="85"/>
        <v>3537.4999999999927</v>
      </c>
      <c r="BK5" s="20">
        <f t="shared" si="85"/>
        <v>19249.499999999993</v>
      </c>
      <c r="BL5" s="20">
        <f t="shared" si="85"/>
        <v>4561.4999999999927</v>
      </c>
      <c r="BM5" s="53">
        <f t="shared" si="85"/>
        <v>21952.019999999993</v>
      </c>
      <c r="BN5" s="20">
        <f t="shared" si="85"/>
        <v>22143.049999999996</v>
      </c>
      <c r="BO5" s="20">
        <f t="shared" si="85"/>
        <v>59761.049999999996</v>
      </c>
      <c r="BP5" s="20">
        <f t="shared" ref="BP5:CV5" si="86">BO5+BP69</f>
        <v>30434.049999999996</v>
      </c>
      <c r="BQ5" s="20">
        <f t="shared" si="86"/>
        <v>23154.049999999996</v>
      </c>
      <c r="BR5" s="20">
        <f t="shared" si="86"/>
        <v>19444.049999999996</v>
      </c>
      <c r="BS5" s="20">
        <f t="shared" si="86"/>
        <v>15734.049999999996</v>
      </c>
      <c r="BT5" s="20">
        <f t="shared" si="86"/>
        <v>31514.049999999996</v>
      </c>
      <c r="BU5" s="20">
        <f t="shared" si="86"/>
        <v>28794.049999999996</v>
      </c>
      <c r="BV5" s="20">
        <f t="shared" si="86"/>
        <v>11962.049999999996</v>
      </c>
      <c r="BW5" s="20">
        <f t="shared" si="86"/>
        <v>9242.0499999999956</v>
      </c>
      <c r="BX5" s="20">
        <f t="shared" si="86"/>
        <v>46522.049999999996</v>
      </c>
      <c r="BY5" s="53">
        <f t="shared" si="86"/>
        <v>49690.049999999996</v>
      </c>
      <c r="BZ5" s="20">
        <f t="shared" si="86"/>
        <v>40231.049999999996</v>
      </c>
      <c r="CA5" s="20">
        <f t="shared" si="86"/>
        <v>39281.049999999996</v>
      </c>
      <c r="CB5" s="20">
        <f t="shared" si="86"/>
        <v>107031.04999999999</v>
      </c>
      <c r="CC5" s="20">
        <f t="shared" si="86"/>
        <v>99025.049999999988</v>
      </c>
      <c r="CD5" s="20">
        <f t="shared" si="86"/>
        <v>93075.049999999988</v>
      </c>
      <c r="CE5" s="20">
        <f t="shared" si="86"/>
        <v>94349.049999999988</v>
      </c>
      <c r="CF5" s="20">
        <f t="shared" si="86"/>
        <v>88343.049999999988</v>
      </c>
      <c r="CG5" s="20">
        <f t="shared" si="86"/>
        <v>67340.099999999991</v>
      </c>
      <c r="CH5" s="20">
        <f t="shared" si="86"/>
        <v>106436.09999999999</v>
      </c>
      <c r="CI5" s="20">
        <f t="shared" si="86"/>
        <v>110707.09999999999</v>
      </c>
      <c r="CJ5" s="20">
        <f t="shared" si="86"/>
        <v>109978.09999999999</v>
      </c>
      <c r="CK5" s="53">
        <f t="shared" si="86"/>
        <v>121749.09999999999</v>
      </c>
      <c r="CL5" s="20">
        <f t="shared" si="86"/>
        <v>133520.09999999998</v>
      </c>
      <c r="CM5" s="20">
        <f t="shared" si="86"/>
        <v>186728.59999999998</v>
      </c>
      <c r="CN5" s="20">
        <f t="shared" si="86"/>
        <v>198499.59999999998</v>
      </c>
      <c r="CO5" s="20">
        <f t="shared" si="86"/>
        <v>195470.59999999998</v>
      </c>
      <c r="CP5" s="20">
        <f t="shared" si="86"/>
        <v>207241.59999999998</v>
      </c>
      <c r="CQ5" s="20">
        <f t="shared" si="86"/>
        <v>204012.59999999998</v>
      </c>
      <c r="CR5" s="20">
        <f t="shared" si="86"/>
        <v>200783.59999999998</v>
      </c>
      <c r="CS5" s="20">
        <f t="shared" si="86"/>
        <v>212554.59999999998</v>
      </c>
      <c r="CT5" s="20">
        <f t="shared" si="86"/>
        <v>224325.59999999998</v>
      </c>
      <c r="CU5" s="20">
        <f t="shared" si="86"/>
        <v>236096.59999999998</v>
      </c>
      <c r="CV5" s="20">
        <f t="shared" si="86"/>
        <v>247867.59999999998</v>
      </c>
      <c r="CW5" s="53">
        <f t="shared" ref="CW5" si="87">CV5+CW69</f>
        <v>259638.59999999998</v>
      </c>
      <c r="CX5" s="20">
        <f t="shared" ref="CX5" si="88">CW5+CX69</f>
        <v>271409.59999999998</v>
      </c>
      <c r="CY5" s="20">
        <f t="shared" ref="CY5" si="89">CX5+CY69</f>
        <v>283180.59999999998</v>
      </c>
      <c r="CZ5" s="20">
        <f t="shared" ref="CZ5" si="90">CY5+CZ69</f>
        <v>279751.59999999998</v>
      </c>
      <c r="DA5" s="20">
        <f t="shared" ref="DA5" si="91">CZ5+DA69</f>
        <v>241522.59999999998</v>
      </c>
      <c r="DB5" s="20">
        <f t="shared" ref="DB5" si="92">DA5+DB69</f>
        <v>233293.59999999998</v>
      </c>
      <c r="DC5" s="20">
        <f t="shared" ref="DC5" si="93">DB5+DC69</f>
        <v>245064.59999999998</v>
      </c>
      <c r="DD5" s="20">
        <f t="shared" ref="DD5" si="94">DC5+DD69</f>
        <v>256835.59999999998</v>
      </c>
      <c r="DE5" s="20">
        <f t="shared" ref="DE5" si="95">DD5+DE69</f>
        <v>268606.59999999998</v>
      </c>
      <c r="DF5" s="20">
        <f t="shared" ref="DF5" si="96">DE5+DF69</f>
        <v>280377.59999999998</v>
      </c>
      <c r="DG5" s="20">
        <f t="shared" ref="DG5" si="97">DF5+DG69</f>
        <v>292148.59999999998</v>
      </c>
      <c r="DH5" s="20">
        <f t="shared" ref="DH5" si="98">DG5+DH69</f>
        <v>303919.59999999998</v>
      </c>
    </row>
    <row r="6" spans="2:112" x14ac:dyDescent="0.25">
      <c r="B6" s="22" t="s">
        <v>17</v>
      </c>
      <c r="C6" s="44"/>
      <c r="D6" s="45">
        <f t="shared" ref="D6:AI6" si="99">C6-D25-D68</f>
        <v>0</v>
      </c>
      <c r="E6" s="4">
        <f t="shared" si="99"/>
        <v>0</v>
      </c>
      <c r="F6" s="45">
        <f t="shared" si="99"/>
        <v>0</v>
      </c>
      <c r="G6" s="45">
        <f t="shared" si="99"/>
        <v>0</v>
      </c>
      <c r="H6" s="45">
        <f t="shared" si="99"/>
        <v>0</v>
      </c>
      <c r="I6" s="45">
        <f t="shared" si="99"/>
        <v>0</v>
      </c>
      <c r="J6" s="45">
        <f t="shared" si="99"/>
        <v>15000</v>
      </c>
      <c r="K6" s="45">
        <f t="shared" si="99"/>
        <v>15000</v>
      </c>
      <c r="L6" s="45">
        <f t="shared" si="99"/>
        <v>7500</v>
      </c>
      <c r="M6" s="45">
        <f t="shared" si="99"/>
        <v>7500</v>
      </c>
      <c r="N6" s="45">
        <f t="shared" si="99"/>
        <v>7500</v>
      </c>
      <c r="O6" s="45">
        <f t="shared" si="99"/>
        <v>7500</v>
      </c>
      <c r="P6" s="45">
        <f t="shared" si="99"/>
        <v>7500</v>
      </c>
      <c r="Q6" s="4">
        <f t="shared" si="99"/>
        <v>7500</v>
      </c>
      <c r="R6" s="45">
        <f t="shared" si="99"/>
        <v>7500</v>
      </c>
      <c r="S6" s="45">
        <f t="shared" si="99"/>
        <v>7500</v>
      </c>
      <c r="T6" s="45">
        <f t="shared" si="99"/>
        <v>7500</v>
      </c>
      <c r="U6" s="45">
        <f t="shared" si="99"/>
        <v>0</v>
      </c>
      <c r="V6" s="45">
        <f t="shared" si="99"/>
        <v>0</v>
      </c>
      <c r="W6" s="45">
        <f t="shared" si="99"/>
        <v>0</v>
      </c>
      <c r="X6" s="45">
        <f t="shared" si="99"/>
        <v>0</v>
      </c>
      <c r="Y6" s="45">
        <f t="shared" si="99"/>
        <v>0</v>
      </c>
      <c r="Z6" s="45">
        <f t="shared" si="99"/>
        <v>0</v>
      </c>
      <c r="AA6" s="45">
        <f t="shared" si="99"/>
        <v>0</v>
      </c>
      <c r="AB6" s="45">
        <f t="shared" si="99"/>
        <v>0</v>
      </c>
      <c r="AC6" s="4">
        <f t="shared" si="99"/>
        <v>0</v>
      </c>
      <c r="AD6" s="45">
        <f t="shared" si="99"/>
        <v>0</v>
      </c>
      <c r="AE6" s="45">
        <f t="shared" si="99"/>
        <v>0</v>
      </c>
      <c r="AF6" s="45">
        <f t="shared" si="99"/>
        <v>0</v>
      </c>
      <c r="AG6" s="45">
        <f t="shared" si="99"/>
        <v>0</v>
      </c>
      <c r="AH6" s="45">
        <f t="shared" si="99"/>
        <v>0</v>
      </c>
      <c r="AI6" s="45">
        <f t="shared" si="99"/>
        <v>0</v>
      </c>
      <c r="AJ6" s="45">
        <f t="shared" ref="AJ6:BO6" si="100">AI6-AJ25-AJ68</f>
        <v>0</v>
      </c>
      <c r="AK6" s="45">
        <f t="shared" si="100"/>
        <v>0</v>
      </c>
      <c r="AL6" s="45">
        <f t="shared" si="100"/>
        <v>0</v>
      </c>
      <c r="AM6" s="45">
        <f t="shared" si="100"/>
        <v>0</v>
      </c>
      <c r="AN6" s="45">
        <f t="shared" si="100"/>
        <v>0</v>
      </c>
      <c r="AO6" s="54">
        <f t="shared" si="100"/>
        <v>0</v>
      </c>
      <c r="AP6" s="45">
        <f t="shared" si="100"/>
        <v>0</v>
      </c>
      <c r="AQ6" s="45">
        <f t="shared" si="100"/>
        <v>0</v>
      </c>
      <c r="AR6" s="45">
        <f t="shared" si="100"/>
        <v>0</v>
      </c>
      <c r="AS6" s="45">
        <f t="shared" si="100"/>
        <v>0</v>
      </c>
      <c r="AT6" s="45">
        <f t="shared" si="100"/>
        <v>0</v>
      </c>
      <c r="AU6" s="45">
        <f t="shared" si="100"/>
        <v>0</v>
      </c>
      <c r="AV6" s="45">
        <f t="shared" si="100"/>
        <v>0</v>
      </c>
      <c r="AW6" s="45">
        <f t="shared" si="100"/>
        <v>0</v>
      </c>
      <c r="AX6" s="45">
        <f t="shared" si="100"/>
        <v>0</v>
      </c>
      <c r="AY6" s="45">
        <f t="shared" si="100"/>
        <v>0</v>
      </c>
      <c r="AZ6" s="45">
        <f t="shared" si="100"/>
        <v>0</v>
      </c>
      <c r="BA6" s="54">
        <f t="shared" si="100"/>
        <v>0</v>
      </c>
      <c r="BB6" s="45">
        <f t="shared" si="100"/>
        <v>0</v>
      </c>
      <c r="BC6" s="45">
        <f t="shared" si="100"/>
        <v>0</v>
      </c>
      <c r="BD6" s="45">
        <f t="shared" si="100"/>
        <v>0</v>
      </c>
      <c r="BE6" s="45">
        <f t="shared" si="100"/>
        <v>0</v>
      </c>
      <c r="BF6" s="45">
        <f t="shared" si="100"/>
        <v>0</v>
      </c>
      <c r="BG6" s="45">
        <f t="shared" si="100"/>
        <v>0</v>
      </c>
      <c r="BH6" s="45">
        <f t="shared" si="100"/>
        <v>0</v>
      </c>
      <c r="BI6" s="45">
        <f t="shared" si="100"/>
        <v>0</v>
      </c>
      <c r="BJ6" s="45">
        <f t="shared" si="100"/>
        <v>0</v>
      </c>
      <c r="BK6" s="45">
        <f t="shared" si="100"/>
        <v>0</v>
      </c>
      <c r="BL6" s="45">
        <f t="shared" si="100"/>
        <v>0</v>
      </c>
      <c r="BM6" s="54">
        <f t="shared" si="100"/>
        <v>0</v>
      </c>
      <c r="BN6" s="45">
        <f t="shared" si="100"/>
        <v>0</v>
      </c>
      <c r="BO6" s="45">
        <f t="shared" si="100"/>
        <v>0</v>
      </c>
      <c r="BP6" s="45">
        <f t="shared" ref="BP6:CV6" si="101">BO6-BP25-BP68</f>
        <v>0</v>
      </c>
      <c r="BQ6" s="45">
        <f t="shared" si="101"/>
        <v>0</v>
      </c>
      <c r="BR6" s="45">
        <f t="shared" si="101"/>
        <v>0</v>
      </c>
      <c r="BS6" s="45">
        <f t="shared" si="101"/>
        <v>0</v>
      </c>
      <c r="BT6" s="45">
        <f t="shared" si="101"/>
        <v>0</v>
      </c>
      <c r="BU6" s="45">
        <f t="shared" si="101"/>
        <v>0</v>
      </c>
      <c r="BV6" s="45">
        <f t="shared" si="101"/>
        <v>0</v>
      </c>
      <c r="BW6" s="45">
        <f t="shared" si="101"/>
        <v>0</v>
      </c>
      <c r="BX6" s="45">
        <f t="shared" si="101"/>
        <v>0</v>
      </c>
      <c r="BY6" s="54">
        <f t="shared" si="101"/>
        <v>0</v>
      </c>
      <c r="BZ6" s="45">
        <f t="shared" si="101"/>
        <v>0</v>
      </c>
      <c r="CA6" s="45">
        <f t="shared" si="101"/>
        <v>0</v>
      </c>
      <c r="CB6" s="45">
        <f t="shared" si="101"/>
        <v>0</v>
      </c>
      <c r="CC6" s="45">
        <f t="shared" si="101"/>
        <v>0</v>
      </c>
      <c r="CD6" s="45">
        <f t="shared" si="101"/>
        <v>0</v>
      </c>
      <c r="CE6" s="45">
        <f t="shared" si="101"/>
        <v>0</v>
      </c>
      <c r="CF6" s="45">
        <f t="shared" si="101"/>
        <v>0</v>
      </c>
      <c r="CG6" s="45">
        <f t="shared" si="101"/>
        <v>0</v>
      </c>
      <c r="CH6" s="45">
        <f t="shared" si="101"/>
        <v>0</v>
      </c>
      <c r="CI6" s="45">
        <f t="shared" si="101"/>
        <v>0</v>
      </c>
      <c r="CJ6" s="45">
        <f t="shared" si="101"/>
        <v>0</v>
      </c>
      <c r="CK6" s="54">
        <f t="shared" si="101"/>
        <v>0</v>
      </c>
      <c r="CL6" s="45">
        <f t="shared" si="101"/>
        <v>0</v>
      </c>
      <c r="CM6" s="45">
        <f t="shared" si="101"/>
        <v>0</v>
      </c>
      <c r="CN6" s="45">
        <f t="shared" si="101"/>
        <v>0</v>
      </c>
      <c r="CO6" s="45">
        <f t="shared" si="101"/>
        <v>0</v>
      </c>
      <c r="CP6" s="45">
        <f t="shared" si="101"/>
        <v>0</v>
      </c>
      <c r="CQ6" s="45">
        <f t="shared" si="101"/>
        <v>0</v>
      </c>
      <c r="CR6" s="45">
        <f t="shared" si="101"/>
        <v>0</v>
      </c>
      <c r="CS6" s="45">
        <f t="shared" si="101"/>
        <v>0</v>
      </c>
      <c r="CT6" s="45">
        <f t="shared" si="101"/>
        <v>0</v>
      </c>
      <c r="CU6" s="45">
        <f t="shared" si="101"/>
        <v>0</v>
      </c>
      <c r="CV6" s="45">
        <f t="shared" si="101"/>
        <v>0</v>
      </c>
      <c r="CW6" s="54">
        <f t="shared" ref="CW6" si="102">CV6-CW25-CW68</f>
        <v>0</v>
      </c>
      <c r="CX6" s="45">
        <f t="shared" ref="CX6" si="103">CW6-CX25-CX68</f>
        <v>0</v>
      </c>
      <c r="CY6" s="45">
        <f t="shared" ref="CY6" si="104">CX6-CY25-CY68</f>
        <v>0</v>
      </c>
      <c r="CZ6" s="45">
        <f t="shared" ref="CZ6" si="105">CY6-CZ25-CZ68</f>
        <v>0</v>
      </c>
      <c r="DA6" s="45">
        <f t="shared" ref="DA6" si="106">CZ6-DA25-DA68</f>
        <v>0</v>
      </c>
      <c r="DB6" s="45">
        <f t="shared" ref="DB6" si="107">DA6-DB25-DB68</f>
        <v>0</v>
      </c>
      <c r="DC6" s="45">
        <f t="shared" ref="DC6" si="108">DB6-DC25-DC68</f>
        <v>0</v>
      </c>
      <c r="DD6" s="45">
        <f t="shared" ref="DD6" si="109">DC6-DD25-DD68</f>
        <v>0</v>
      </c>
      <c r="DE6" s="45">
        <f t="shared" ref="DE6" si="110">DD6-DE25-DE68</f>
        <v>0</v>
      </c>
      <c r="DF6" s="45">
        <f t="shared" ref="DF6" si="111">DE6-DF25-DF68</f>
        <v>0</v>
      </c>
      <c r="DG6" s="45">
        <f t="shared" ref="DG6" si="112">DF6-DG25-DG68</f>
        <v>0</v>
      </c>
      <c r="DH6" s="45">
        <f t="shared" ref="DH6" si="113">DG6-DH25-DH68</f>
        <v>0</v>
      </c>
    </row>
    <row r="7" spans="2:112" s="1" customFormat="1" x14ac:dyDescent="0.25">
      <c r="B7" s="12" t="s">
        <v>8</v>
      </c>
      <c r="C7" s="13">
        <f t="shared" ref="C7:Z7" si="114">SUM(C5:C6)</f>
        <v>35000</v>
      </c>
      <c r="D7" s="13">
        <f t="shared" si="114"/>
        <v>38700</v>
      </c>
      <c r="E7" s="14">
        <f t="shared" si="114"/>
        <v>42400</v>
      </c>
      <c r="F7" s="13">
        <f t="shared" si="114"/>
        <v>66583</v>
      </c>
      <c r="G7" s="13">
        <f t="shared" si="114"/>
        <v>50283</v>
      </c>
      <c r="H7" s="13">
        <f t="shared" si="114"/>
        <v>53983</v>
      </c>
      <c r="I7" s="13">
        <f t="shared" si="114"/>
        <v>57683</v>
      </c>
      <c r="J7" s="13">
        <f t="shared" si="114"/>
        <v>63683</v>
      </c>
      <c r="K7" s="13">
        <f t="shared" si="114"/>
        <v>71483</v>
      </c>
      <c r="L7" s="13">
        <f t="shared" si="114"/>
        <v>76283</v>
      </c>
      <c r="M7" s="13">
        <f t="shared" si="114"/>
        <v>-3917</v>
      </c>
      <c r="N7" s="13">
        <f t="shared" si="114"/>
        <v>5883</v>
      </c>
      <c r="O7" s="13">
        <f t="shared" si="114"/>
        <v>15683</v>
      </c>
      <c r="P7" s="13">
        <f t="shared" si="114"/>
        <v>3683</v>
      </c>
      <c r="Q7" s="14">
        <f t="shared" si="114"/>
        <v>7668</v>
      </c>
      <c r="R7" s="13">
        <f t="shared" si="114"/>
        <v>27168</v>
      </c>
      <c r="S7" s="13">
        <f t="shared" si="114"/>
        <v>31668</v>
      </c>
      <c r="T7" s="13">
        <f t="shared" si="114"/>
        <v>36168</v>
      </c>
      <c r="U7" s="13">
        <f t="shared" si="114"/>
        <v>31016</v>
      </c>
      <c r="V7" s="13">
        <f t="shared" si="114"/>
        <v>21741</v>
      </c>
      <c r="W7" s="13">
        <f t="shared" si="114"/>
        <v>30241</v>
      </c>
      <c r="X7" s="13">
        <f t="shared" si="114"/>
        <v>38741</v>
      </c>
      <c r="Y7" s="13">
        <f t="shared" si="114"/>
        <v>47241</v>
      </c>
      <c r="Z7" s="13">
        <f t="shared" si="114"/>
        <v>54941</v>
      </c>
      <c r="AA7" s="13">
        <f t="shared" ref="AA7" si="115">SUM(AA5:AA6)</f>
        <v>59641</v>
      </c>
      <c r="AB7" s="13">
        <f t="shared" ref="AB7" si="116">SUM(AB5:AB6)</f>
        <v>13221</v>
      </c>
      <c r="AC7" s="14">
        <f t="shared" ref="AC7" si="117">SUM(AC5:AC6)</f>
        <v>31551</v>
      </c>
      <c r="AD7" s="13">
        <f t="shared" ref="AD7" si="118">SUM(AD5:AD6)</f>
        <v>9986</v>
      </c>
      <c r="AE7" s="13">
        <f t="shared" ref="AE7" si="119">SUM(AE5:AE6)</f>
        <v>42066</v>
      </c>
      <c r="AF7" s="13">
        <f t="shared" ref="AF7" si="120">SUM(AF5:AF6)</f>
        <v>64146</v>
      </c>
      <c r="AG7" s="13">
        <f t="shared" ref="AG7" si="121">SUM(AG5:AG6)</f>
        <v>64126</v>
      </c>
      <c r="AH7" s="13">
        <f t="shared" ref="AH7" si="122">SUM(AH5:AH6)</f>
        <v>63098</v>
      </c>
      <c r="AI7" s="13">
        <f t="shared" ref="AI7" si="123">SUM(AI5:AI6)</f>
        <v>67236</v>
      </c>
      <c r="AJ7" s="13">
        <f t="shared" ref="AJ7" si="124">SUM(AJ5:AJ6)</f>
        <v>78758</v>
      </c>
      <c r="AK7" s="13">
        <f t="shared" ref="AK7" si="125">SUM(AK5:AK6)</f>
        <v>86832</v>
      </c>
      <c r="AL7" s="13">
        <f t="shared" ref="AL7" si="126">SUM(AL5:AL6)</f>
        <v>123388</v>
      </c>
      <c r="AM7" s="13">
        <f t="shared" ref="AM7" si="127">SUM(AM5:AM6)</f>
        <v>142582</v>
      </c>
      <c r="AN7" s="13">
        <f t="shared" ref="AN7" si="128">SUM(AN5:AN6)</f>
        <v>93276</v>
      </c>
      <c r="AO7" s="55">
        <f t="shared" ref="AO7" si="129">SUM(AO5:AO6)</f>
        <v>94147.199999999997</v>
      </c>
      <c r="AP7" s="13">
        <f t="shared" ref="AP7" si="130">SUM(AP5:AP6)</f>
        <v>56951.299999999996</v>
      </c>
      <c r="AQ7" s="13">
        <f t="shared" ref="AQ7" si="131">SUM(AQ5:AQ6)</f>
        <v>42368.299999999996</v>
      </c>
      <c r="AR7" s="13">
        <f t="shared" ref="AR7" si="132">SUM(AR5:AR6)</f>
        <v>12821.599999999995</v>
      </c>
      <c r="AS7" s="13">
        <f t="shared" ref="AS7" si="133">SUM(AS5:AS6)</f>
        <v>21113.699999999993</v>
      </c>
      <c r="AT7" s="13">
        <f t="shared" ref="AT7" si="134">SUM(AT5:AT6)</f>
        <v>18036.499999999993</v>
      </c>
      <c r="AU7" s="13">
        <f t="shared" ref="AU7" si="135">SUM(AU5:AU6)</f>
        <v>11411.799999999992</v>
      </c>
      <c r="AV7" s="13">
        <f t="shared" ref="AV7" si="136">SUM(AV5:AV6)</f>
        <v>5805.799999999992</v>
      </c>
      <c r="AW7" s="13">
        <f t="shared" ref="AW7" si="137">SUM(AW5:AW6)</f>
        <v>15347.499999999993</v>
      </c>
      <c r="AX7" s="13">
        <f t="shared" ref="AX7" si="138">SUM(AX5:AX6)</f>
        <v>30237.099999999991</v>
      </c>
      <c r="AY7" s="13">
        <f t="shared" ref="AY7" si="139">SUM(AY5:AY6)</f>
        <v>32742.099999999991</v>
      </c>
      <c r="AZ7" s="13">
        <f t="shared" ref="AZ7:CK7" si="140">SUM(AZ5:AZ6)</f>
        <v>29174.499999999993</v>
      </c>
      <c r="BA7" s="55">
        <f t="shared" ref="BA7:BX7" si="141">SUM(BA5:BA6)</f>
        <v>13418.499999999993</v>
      </c>
      <c r="BB7" s="13">
        <f t="shared" si="141"/>
        <v>15407.499999999993</v>
      </c>
      <c r="BC7" s="13">
        <f t="shared" si="141"/>
        <v>31654.499999999993</v>
      </c>
      <c r="BD7" s="13">
        <f t="shared" si="141"/>
        <v>33377.499999999993</v>
      </c>
      <c r="BE7" s="13">
        <f t="shared" si="141"/>
        <v>22033.499999999993</v>
      </c>
      <c r="BF7" s="13">
        <f t="shared" si="141"/>
        <v>10689.499999999993</v>
      </c>
      <c r="BG7" s="13">
        <f t="shared" si="141"/>
        <v>6401.4999999999927</v>
      </c>
      <c r="BH7" s="13">
        <f t="shared" si="141"/>
        <v>3613.4999999999927</v>
      </c>
      <c r="BI7" s="13">
        <f t="shared" si="141"/>
        <v>825.49999999999272</v>
      </c>
      <c r="BJ7" s="13">
        <f t="shared" si="141"/>
        <v>3537.4999999999927</v>
      </c>
      <c r="BK7" s="13">
        <f t="shared" si="141"/>
        <v>19249.499999999993</v>
      </c>
      <c r="BL7" s="13">
        <f t="shared" si="141"/>
        <v>4561.4999999999927</v>
      </c>
      <c r="BM7" s="55">
        <f t="shared" ref="BM7" si="142">SUM(BM5:BM6)</f>
        <v>21952.019999999993</v>
      </c>
      <c r="BN7" s="13">
        <f t="shared" si="141"/>
        <v>22143.049999999996</v>
      </c>
      <c r="BO7" s="13">
        <f>SUM(BO5:BO6)</f>
        <v>59761.049999999996</v>
      </c>
      <c r="BP7" s="13">
        <f t="shared" si="141"/>
        <v>30434.049999999996</v>
      </c>
      <c r="BQ7" s="13">
        <f t="shared" si="141"/>
        <v>23154.049999999996</v>
      </c>
      <c r="BR7" s="13">
        <f t="shared" si="141"/>
        <v>19444.049999999996</v>
      </c>
      <c r="BS7" s="13">
        <f t="shared" si="141"/>
        <v>15734.049999999996</v>
      </c>
      <c r="BT7" s="13">
        <f t="shared" si="141"/>
        <v>31514.049999999996</v>
      </c>
      <c r="BU7" s="13">
        <f t="shared" si="141"/>
        <v>28794.049999999996</v>
      </c>
      <c r="BV7" s="13">
        <f t="shared" si="141"/>
        <v>11962.049999999996</v>
      </c>
      <c r="BW7" s="13">
        <f t="shared" si="141"/>
        <v>9242.0499999999956</v>
      </c>
      <c r="BX7" s="13">
        <f t="shared" si="141"/>
        <v>46522.049999999996</v>
      </c>
      <c r="BY7" s="55">
        <f t="shared" ref="BY7" si="143">SUM(BY5:BY6)</f>
        <v>49690.049999999996</v>
      </c>
      <c r="BZ7" s="13">
        <f t="shared" si="140"/>
        <v>40231.049999999996</v>
      </c>
      <c r="CA7" s="13">
        <f t="shared" si="140"/>
        <v>39281.049999999996</v>
      </c>
      <c r="CB7" s="13">
        <f t="shared" si="140"/>
        <v>107031.04999999999</v>
      </c>
      <c r="CC7" s="13">
        <f t="shared" si="140"/>
        <v>99025.049999999988</v>
      </c>
      <c r="CD7" s="13">
        <f t="shared" si="140"/>
        <v>93075.049999999988</v>
      </c>
      <c r="CE7" s="13">
        <f t="shared" si="140"/>
        <v>94349.049999999988</v>
      </c>
      <c r="CF7" s="13">
        <f t="shared" si="140"/>
        <v>88343.049999999988</v>
      </c>
      <c r="CG7" s="13">
        <f t="shared" si="140"/>
        <v>67340.099999999991</v>
      </c>
      <c r="CH7" s="13">
        <f t="shared" si="140"/>
        <v>106436.09999999999</v>
      </c>
      <c r="CI7" s="13">
        <f t="shared" si="140"/>
        <v>110707.09999999999</v>
      </c>
      <c r="CJ7" s="13">
        <f t="shared" si="140"/>
        <v>109978.09999999999</v>
      </c>
      <c r="CK7" s="55">
        <f t="shared" si="140"/>
        <v>121749.09999999999</v>
      </c>
      <c r="CL7" s="13">
        <f t="shared" ref="CL7:CV7" si="144">SUM(CL5:CL6)</f>
        <v>133520.09999999998</v>
      </c>
      <c r="CM7" s="13">
        <f t="shared" si="144"/>
        <v>186728.59999999998</v>
      </c>
      <c r="CN7" s="13">
        <f t="shared" si="144"/>
        <v>198499.59999999998</v>
      </c>
      <c r="CO7" s="13">
        <f t="shared" si="144"/>
        <v>195470.59999999998</v>
      </c>
      <c r="CP7" s="13">
        <f t="shared" si="144"/>
        <v>207241.59999999998</v>
      </c>
      <c r="CQ7" s="13">
        <f t="shared" si="144"/>
        <v>204012.59999999998</v>
      </c>
      <c r="CR7" s="13">
        <f t="shared" si="144"/>
        <v>200783.59999999998</v>
      </c>
      <c r="CS7" s="13">
        <f t="shared" si="144"/>
        <v>212554.59999999998</v>
      </c>
      <c r="CT7" s="13">
        <f t="shared" si="144"/>
        <v>224325.59999999998</v>
      </c>
      <c r="CU7" s="13">
        <f t="shared" si="144"/>
        <v>236096.59999999998</v>
      </c>
      <c r="CV7" s="13">
        <f t="shared" si="144"/>
        <v>247867.59999999998</v>
      </c>
      <c r="CW7" s="55">
        <f t="shared" ref="CW7:DH7" si="145">SUM(CW5:CW6)</f>
        <v>259638.59999999998</v>
      </c>
      <c r="CX7" s="13">
        <f t="shared" si="145"/>
        <v>271409.59999999998</v>
      </c>
      <c r="CY7" s="13">
        <f t="shared" si="145"/>
        <v>283180.59999999998</v>
      </c>
      <c r="CZ7" s="13">
        <f t="shared" si="145"/>
        <v>279751.59999999998</v>
      </c>
      <c r="DA7" s="13">
        <f t="shared" si="145"/>
        <v>241522.59999999998</v>
      </c>
      <c r="DB7" s="13">
        <f t="shared" si="145"/>
        <v>233293.59999999998</v>
      </c>
      <c r="DC7" s="13">
        <f t="shared" si="145"/>
        <v>245064.59999999998</v>
      </c>
      <c r="DD7" s="13">
        <f t="shared" si="145"/>
        <v>256835.59999999998</v>
      </c>
      <c r="DE7" s="13">
        <f t="shared" si="145"/>
        <v>268606.59999999998</v>
      </c>
      <c r="DF7" s="13">
        <f t="shared" si="145"/>
        <v>280377.59999999998</v>
      </c>
      <c r="DG7" s="13">
        <f t="shared" si="145"/>
        <v>292148.59999999998</v>
      </c>
      <c r="DH7" s="13">
        <f t="shared" si="145"/>
        <v>303919.59999999998</v>
      </c>
    </row>
    <row r="8" spans="2:112" x14ac:dyDescent="0.25">
      <c r="C8" s="3"/>
      <c r="D8" s="3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4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54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54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54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54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54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54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</row>
    <row r="9" spans="2:112" x14ac:dyDescent="0.25">
      <c r="B9" s="1" t="s">
        <v>4</v>
      </c>
      <c r="C9" s="3"/>
      <c r="D9" s="3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4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54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54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54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54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54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54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</row>
    <row r="10" spans="2:112" x14ac:dyDescent="0.25">
      <c r="B10" s="26" t="s">
        <v>19</v>
      </c>
      <c r="C10" s="27"/>
      <c r="D10" s="27"/>
      <c r="E10" s="28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8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8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56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56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56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56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56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56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</row>
    <row r="11" spans="2:112" s="1" customFormat="1" x14ac:dyDescent="0.25">
      <c r="B11" s="12" t="s">
        <v>9</v>
      </c>
      <c r="C11" s="13">
        <f t="shared" ref="C11:Z11" si="146">SUM(C10:C10)</f>
        <v>0</v>
      </c>
      <c r="D11" s="13">
        <f t="shared" si="146"/>
        <v>0</v>
      </c>
      <c r="E11" s="14">
        <f t="shared" si="146"/>
        <v>0</v>
      </c>
      <c r="F11" s="13">
        <f t="shared" si="146"/>
        <v>0</v>
      </c>
      <c r="G11" s="13">
        <f t="shared" si="146"/>
        <v>0</v>
      </c>
      <c r="H11" s="13">
        <f t="shared" si="146"/>
        <v>0</v>
      </c>
      <c r="I11" s="13">
        <f t="shared" si="146"/>
        <v>0</v>
      </c>
      <c r="J11" s="13">
        <f t="shared" si="146"/>
        <v>0</v>
      </c>
      <c r="K11" s="13">
        <f t="shared" si="146"/>
        <v>0</v>
      </c>
      <c r="L11" s="13">
        <f t="shared" si="146"/>
        <v>0</v>
      </c>
      <c r="M11" s="13">
        <f t="shared" si="146"/>
        <v>0</v>
      </c>
      <c r="N11" s="13">
        <f t="shared" si="146"/>
        <v>0</v>
      </c>
      <c r="O11" s="13">
        <f t="shared" si="146"/>
        <v>0</v>
      </c>
      <c r="P11" s="13">
        <f t="shared" si="146"/>
        <v>0</v>
      </c>
      <c r="Q11" s="14">
        <f t="shared" si="146"/>
        <v>0</v>
      </c>
      <c r="R11" s="13">
        <f t="shared" si="146"/>
        <v>0</v>
      </c>
      <c r="S11" s="13">
        <f t="shared" si="146"/>
        <v>0</v>
      </c>
      <c r="T11" s="13">
        <f t="shared" si="146"/>
        <v>0</v>
      </c>
      <c r="U11" s="13">
        <f t="shared" si="146"/>
        <v>0</v>
      </c>
      <c r="V11" s="13">
        <f t="shared" si="146"/>
        <v>0</v>
      </c>
      <c r="W11" s="13">
        <f t="shared" si="146"/>
        <v>0</v>
      </c>
      <c r="X11" s="13">
        <f t="shared" si="146"/>
        <v>0</v>
      </c>
      <c r="Y11" s="13">
        <f t="shared" si="146"/>
        <v>0</v>
      </c>
      <c r="Z11" s="13">
        <f t="shared" si="146"/>
        <v>0</v>
      </c>
      <c r="AA11" s="13">
        <f t="shared" ref="AA11" si="147">SUM(AA10:AA10)</f>
        <v>0</v>
      </c>
      <c r="AB11" s="13">
        <f t="shared" ref="AB11" si="148">SUM(AB10:AB10)</f>
        <v>0</v>
      </c>
      <c r="AC11" s="14">
        <f t="shared" ref="AC11" si="149">SUM(AC10:AC10)</f>
        <v>0</v>
      </c>
      <c r="AD11" s="13">
        <f t="shared" ref="AD11" si="150">SUM(AD10:AD10)</f>
        <v>0</v>
      </c>
      <c r="AE11" s="13">
        <f t="shared" ref="AE11" si="151">SUM(AE10:AE10)</f>
        <v>0</v>
      </c>
      <c r="AF11" s="13">
        <f t="shared" ref="AF11" si="152">SUM(AF10:AF10)</f>
        <v>0</v>
      </c>
      <c r="AG11" s="13">
        <f t="shared" ref="AG11" si="153">SUM(AG10:AG10)</f>
        <v>0</v>
      </c>
      <c r="AH11" s="13">
        <f t="shared" ref="AH11" si="154">SUM(AH10:AH10)</f>
        <v>0</v>
      </c>
      <c r="AI11" s="13">
        <f t="shared" ref="AI11" si="155">SUM(AI10:AI10)</f>
        <v>0</v>
      </c>
      <c r="AJ11" s="13">
        <f t="shared" ref="AJ11" si="156">SUM(AJ10:AJ10)</f>
        <v>0</v>
      </c>
      <c r="AK11" s="13">
        <f t="shared" ref="AK11" si="157">SUM(AK10:AK10)</f>
        <v>0</v>
      </c>
      <c r="AL11" s="13">
        <f t="shared" ref="AL11" si="158">SUM(AL10:AL10)</f>
        <v>0</v>
      </c>
      <c r="AM11" s="13">
        <f t="shared" ref="AM11" si="159">SUM(AM10:AM10)</f>
        <v>0</v>
      </c>
      <c r="AN11" s="13">
        <f t="shared" ref="AN11" si="160">SUM(AN10:AN10)</f>
        <v>0</v>
      </c>
      <c r="AO11" s="55">
        <f t="shared" ref="AO11" si="161">SUM(AO10:AO10)</f>
        <v>0</v>
      </c>
      <c r="AP11" s="13">
        <f t="shared" ref="AP11" si="162">SUM(AP10:AP10)</f>
        <v>0</v>
      </c>
      <c r="AQ11" s="13">
        <f t="shared" ref="AQ11" si="163">SUM(AQ10:AQ10)</f>
        <v>0</v>
      </c>
      <c r="AR11" s="13">
        <f t="shared" ref="AR11" si="164">SUM(AR10:AR10)</f>
        <v>0</v>
      </c>
      <c r="AS11" s="13">
        <f t="shared" ref="AS11" si="165">SUM(AS10:AS10)</f>
        <v>0</v>
      </c>
      <c r="AT11" s="13">
        <f t="shared" ref="AT11" si="166">SUM(AT10:AT10)</f>
        <v>0</v>
      </c>
      <c r="AU11" s="13">
        <f t="shared" ref="AU11" si="167">SUM(AU10:AU10)</f>
        <v>0</v>
      </c>
      <c r="AV11" s="13">
        <f t="shared" ref="AV11" si="168">SUM(AV10:AV10)</f>
        <v>0</v>
      </c>
      <c r="AW11" s="13">
        <f t="shared" ref="AW11" si="169">SUM(AW10:AW10)</f>
        <v>0</v>
      </c>
      <c r="AX11" s="13">
        <f t="shared" ref="AX11" si="170">SUM(AX10:AX10)</f>
        <v>0</v>
      </c>
      <c r="AY11" s="13">
        <f t="shared" ref="AY11" si="171">SUM(AY10:AY10)</f>
        <v>0</v>
      </c>
      <c r="AZ11" s="13">
        <f t="shared" ref="AZ11:CK11" si="172">SUM(AZ10:AZ10)</f>
        <v>0</v>
      </c>
      <c r="BA11" s="55">
        <f t="shared" ref="BA11:BX11" si="173">SUM(BA10:BA10)</f>
        <v>0</v>
      </c>
      <c r="BB11" s="13">
        <f t="shared" si="173"/>
        <v>0</v>
      </c>
      <c r="BC11" s="13">
        <f t="shared" si="173"/>
        <v>0</v>
      </c>
      <c r="BD11" s="13">
        <f t="shared" si="173"/>
        <v>0</v>
      </c>
      <c r="BE11" s="13">
        <f t="shared" si="173"/>
        <v>0</v>
      </c>
      <c r="BF11" s="13">
        <f t="shared" si="173"/>
        <v>0</v>
      </c>
      <c r="BG11" s="13">
        <f t="shared" si="173"/>
        <v>0</v>
      </c>
      <c r="BH11" s="13">
        <f t="shared" si="173"/>
        <v>0</v>
      </c>
      <c r="BI11" s="13">
        <f t="shared" si="173"/>
        <v>0</v>
      </c>
      <c r="BJ11" s="13">
        <f t="shared" si="173"/>
        <v>0</v>
      </c>
      <c r="BK11" s="13">
        <f t="shared" si="173"/>
        <v>0</v>
      </c>
      <c r="BL11" s="13">
        <f t="shared" si="173"/>
        <v>0</v>
      </c>
      <c r="BM11" s="55">
        <f t="shared" ref="BM11" si="174">SUM(BM10:BM10)</f>
        <v>0</v>
      </c>
      <c r="BN11" s="13">
        <f t="shared" si="173"/>
        <v>0</v>
      </c>
      <c r="BO11" s="13">
        <f t="shared" si="173"/>
        <v>0</v>
      </c>
      <c r="BP11" s="13">
        <f t="shared" si="173"/>
        <v>0</v>
      </c>
      <c r="BQ11" s="13">
        <f t="shared" si="173"/>
        <v>0</v>
      </c>
      <c r="BR11" s="13">
        <f t="shared" si="173"/>
        <v>0</v>
      </c>
      <c r="BS11" s="13">
        <f t="shared" si="173"/>
        <v>0</v>
      </c>
      <c r="BT11" s="13">
        <f t="shared" si="173"/>
        <v>0</v>
      </c>
      <c r="BU11" s="13">
        <f t="shared" si="173"/>
        <v>0</v>
      </c>
      <c r="BV11" s="13">
        <f t="shared" si="173"/>
        <v>0</v>
      </c>
      <c r="BW11" s="13">
        <f t="shared" si="173"/>
        <v>0</v>
      </c>
      <c r="BX11" s="13">
        <f t="shared" si="173"/>
        <v>0</v>
      </c>
      <c r="BY11" s="55">
        <f t="shared" ref="BY11" si="175">SUM(BY10:BY10)</f>
        <v>0</v>
      </c>
      <c r="BZ11" s="13">
        <f t="shared" si="172"/>
        <v>0</v>
      </c>
      <c r="CA11" s="13">
        <f t="shared" si="172"/>
        <v>0</v>
      </c>
      <c r="CB11" s="13">
        <f t="shared" si="172"/>
        <v>0</v>
      </c>
      <c r="CC11" s="13">
        <f t="shared" si="172"/>
        <v>0</v>
      </c>
      <c r="CD11" s="13">
        <f t="shared" si="172"/>
        <v>0</v>
      </c>
      <c r="CE11" s="13">
        <f t="shared" si="172"/>
        <v>0</v>
      </c>
      <c r="CF11" s="13">
        <f t="shared" si="172"/>
        <v>0</v>
      </c>
      <c r="CG11" s="13">
        <f t="shared" si="172"/>
        <v>0</v>
      </c>
      <c r="CH11" s="13">
        <f t="shared" si="172"/>
        <v>0</v>
      </c>
      <c r="CI11" s="13">
        <f t="shared" si="172"/>
        <v>0</v>
      </c>
      <c r="CJ11" s="13">
        <f t="shared" si="172"/>
        <v>0</v>
      </c>
      <c r="CK11" s="55">
        <f t="shared" si="172"/>
        <v>0</v>
      </c>
      <c r="CL11" s="13">
        <f t="shared" ref="CL11:CV11" si="176">SUM(CL10:CL10)</f>
        <v>0</v>
      </c>
      <c r="CM11" s="13">
        <f t="shared" si="176"/>
        <v>0</v>
      </c>
      <c r="CN11" s="13">
        <f t="shared" si="176"/>
        <v>0</v>
      </c>
      <c r="CO11" s="13">
        <f t="shared" si="176"/>
        <v>0</v>
      </c>
      <c r="CP11" s="13">
        <f t="shared" si="176"/>
        <v>0</v>
      </c>
      <c r="CQ11" s="13">
        <f t="shared" si="176"/>
        <v>0</v>
      </c>
      <c r="CR11" s="13">
        <f t="shared" si="176"/>
        <v>0</v>
      </c>
      <c r="CS11" s="13">
        <f t="shared" si="176"/>
        <v>0</v>
      </c>
      <c r="CT11" s="13">
        <f t="shared" si="176"/>
        <v>0</v>
      </c>
      <c r="CU11" s="13">
        <f t="shared" si="176"/>
        <v>0</v>
      </c>
      <c r="CV11" s="13">
        <f t="shared" si="176"/>
        <v>0</v>
      </c>
      <c r="CW11" s="55">
        <f t="shared" ref="CW11:DH11" si="177">SUM(CW10:CW10)</f>
        <v>0</v>
      </c>
      <c r="CX11" s="13">
        <f t="shared" si="177"/>
        <v>0</v>
      </c>
      <c r="CY11" s="13">
        <f t="shared" si="177"/>
        <v>0</v>
      </c>
      <c r="CZ11" s="13">
        <f t="shared" si="177"/>
        <v>0</v>
      </c>
      <c r="DA11" s="13">
        <f t="shared" si="177"/>
        <v>0</v>
      </c>
      <c r="DB11" s="13">
        <f t="shared" si="177"/>
        <v>0</v>
      </c>
      <c r="DC11" s="13">
        <f t="shared" si="177"/>
        <v>0</v>
      </c>
      <c r="DD11" s="13">
        <f t="shared" si="177"/>
        <v>0</v>
      </c>
      <c r="DE11" s="13">
        <f t="shared" si="177"/>
        <v>0</v>
      </c>
      <c r="DF11" s="13">
        <f t="shared" si="177"/>
        <v>0</v>
      </c>
      <c r="DG11" s="13">
        <f t="shared" si="177"/>
        <v>0</v>
      </c>
      <c r="DH11" s="13">
        <f t="shared" si="177"/>
        <v>0</v>
      </c>
    </row>
    <row r="12" spans="2:112" x14ac:dyDescent="0.25">
      <c r="C12" s="3"/>
      <c r="D12" s="3"/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4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54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54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54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54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54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54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</row>
    <row r="13" spans="2:112" s="1" customFormat="1" x14ac:dyDescent="0.25">
      <c r="B13" s="9" t="s">
        <v>5</v>
      </c>
      <c r="C13" s="10">
        <f t="shared" ref="C13:Z13" si="178">C7-C11</f>
        <v>35000</v>
      </c>
      <c r="D13" s="10">
        <f t="shared" si="178"/>
        <v>38700</v>
      </c>
      <c r="E13" s="11">
        <f t="shared" si="178"/>
        <v>42400</v>
      </c>
      <c r="F13" s="10">
        <f t="shared" si="178"/>
        <v>66583</v>
      </c>
      <c r="G13" s="10">
        <f t="shared" si="178"/>
        <v>50283</v>
      </c>
      <c r="H13" s="10">
        <f t="shared" si="178"/>
        <v>53983</v>
      </c>
      <c r="I13" s="10">
        <f t="shared" si="178"/>
        <v>57683</v>
      </c>
      <c r="J13" s="10">
        <f t="shared" si="178"/>
        <v>63683</v>
      </c>
      <c r="K13" s="10">
        <f t="shared" si="178"/>
        <v>71483</v>
      </c>
      <c r="L13" s="10">
        <f t="shared" si="178"/>
        <v>76283</v>
      </c>
      <c r="M13" s="10">
        <f t="shared" si="178"/>
        <v>-3917</v>
      </c>
      <c r="N13" s="10">
        <f t="shared" si="178"/>
        <v>5883</v>
      </c>
      <c r="O13" s="10">
        <f t="shared" si="178"/>
        <v>15683</v>
      </c>
      <c r="P13" s="10">
        <f t="shared" si="178"/>
        <v>3683</v>
      </c>
      <c r="Q13" s="11">
        <f t="shared" si="178"/>
        <v>7668</v>
      </c>
      <c r="R13" s="10">
        <f t="shared" si="178"/>
        <v>27168</v>
      </c>
      <c r="S13" s="10">
        <f t="shared" si="178"/>
        <v>31668</v>
      </c>
      <c r="T13" s="10">
        <f t="shared" si="178"/>
        <v>36168</v>
      </c>
      <c r="U13" s="10">
        <f t="shared" si="178"/>
        <v>31016</v>
      </c>
      <c r="V13" s="10">
        <f t="shared" si="178"/>
        <v>21741</v>
      </c>
      <c r="W13" s="10">
        <f t="shared" si="178"/>
        <v>30241</v>
      </c>
      <c r="X13" s="10">
        <f t="shared" si="178"/>
        <v>38741</v>
      </c>
      <c r="Y13" s="10">
        <f t="shared" si="178"/>
        <v>47241</v>
      </c>
      <c r="Z13" s="10">
        <f t="shared" si="178"/>
        <v>54941</v>
      </c>
      <c r="AA13" s="10">
        <f t="shared" ref="AA13:AM13" si="179">AA7-AA11</f>
        <v>59641</v>
      </c>
      <c r="AB13" s="10">
        <f t="shared" si="179"/>
        <v>13221</v>
      </c>
      <c r="AC13" s="11">
        <f t="shared" si="179"/>
        <v>31551</v>
      </c>
      <c r="AD13" s="10">
        <f t="shared" si="179"/>
        <v>9986</v>
      </c>
      <c r="AE13" s="10">
        <f t="shared" si="179"/>
        <v>42066</v>
      </c>
      <c r="AF13" s="10">
        <f t="shared" si="179"/>
        <v>64146</v>
      </c>
      <c r="AG13" s="10">
        <f t="shared" si="179"/>
        <v>64126</v>
      </c>
      <c r="AH13" s="10">
        <f t="shared" si="179"/>
        <v>63098</v>
      </c>
      <c r="AI13" s="10">
        <f t="shared" si="179"/>
        <v>67236</v>
      </c>
      <c r="AJ13" s="10">
        <f t="shared" si="179"/>
        <v>78758</v>
      </c>
      <c r="AK13" s="10">
        <f t="shared" si="179"/>
        <v>86832</v>
      </c>
      <c r="AL13" s="10">
        <f t="shared" si="179"/>
        <v>123388</v>
      </c>
      <c r="AM13" s="10">
        <f t="shared" si="179"/>
        <v>142582</v>
      </c>
      <c r="AN13" s="10">
        <f t="shared" ref="AN13:AY13" si="180">AN7-AN11</f>
        <v>93276</v>
      </c>
      <c r="AO13" s="57">
        <f t="shared" si="180"/>
        <v>94147.199999999997</v>
      </c>
      <c r="AP13" s="10">
        <f t="shared" si="180"/>
        <v>56951.299999999996</v>
      </c>
      <c r="AQ13" s="10">
        <f t="shared" si="180"/>
        <v>42368.299999999996</v>
      </c>
      <c r="AR13" s="10">
        <f t="shared" si="180"/>
        <v>12821.599999999995</v>
      </c>
      <c r="AS13" s="10">
        <f t="shared" si="180"/>
        <v>21113.699999999993</v>
      </c>
      <c r="AT13" s="10">
        <f t="shared" si="180"/>
        <v>18036.499999999993</v>
      </c>
      <c r="AU13" s="10">
        <f t="shared" si="180"/>
        <v>11411.799999999992</v>
      </c>
      <c r="AV13" s="10">
        <f t="shared" si="180"/>
        <v>5805.799999999992</v>
      </c>
      <c r="AW13" s="10">
        <f t="shared" si="180"/>
        <v>15347.499999999993</v>
      </c>
      <c r="AX13" s="10">
        <f t="shared" si="180"/>
        <v>30237.099999999991</v>
      </c>
      <c r="AY13" s="10">
        <f t="shared" si="180"/>
        <v>32742.099999999991</v>
      </c>
      <c r="AZ13" s="10">
        <f t="shared" ref="AZ13:CK13" si="181">AZ7-AZ11</f>
        <v>29174.499999999993</v>
      </c>
      <c r="BA13" s="57">
        <f t="shared" ref="BA13:BX13" si="182">BA7-BA11</f>
        <v>13418.499999999993</v>
      </c>
      <c r="BB13" s="10">
        <f t="shared" si="182"/>
        <v>15407.499999999993</v>
      </c>
      <c r="BC13" s="10">
        <f t="shared" si="182"/>
        <v>31654.499999999993</v>
      </c>
      <c r="BD13" s="10">
        <f t="shared" si="182"/>
        <v>33377.499999999993</v>
      </c>
      <c r="BE13" s="10">
        <f t="shared" si="182"/>
        <v>22033.499999999993</v>
      </c>
      <c r="BF13" s="10">
        <f t="shared" si="182"/>
        <v>10689.499999999993</v>
      </c>
      <c r="BG13" s="10">
        <f t="shared" si="182"/>
        <v>6401.4999999999927</v>
      </c>
      <c r="BH13" s="10">
        <f t="shared" si="182"/>
        <v>3613.4999999999927</v>
      </c>
      <c r="BI13" s="10">
        <f t="shared" si="182"/>
        <v>825.49999999999272</v>
      </c>
      <c r="BJ13" s="10">
        <f t="shared" si="182"/>
        <v>3537.4999999999927</v>
      </c>
      <c r="BK13" s="10">
        <f t="shared" si="182"/>
        <v>19249.499999999993</v>
      </c>
      <c r="BL13" s="10">
        <f t="shared" si="182"/>
        <v>4561.4999999999927</v>
      </c>
      <c r="BM13" s="57">
        <f t="shared" ref="BM13" si="183">BM7-BM11</f>
        <v>21952.019999999993</v>
      </c>
      <c r="BN13" s="10">
        <f t="shared" si="182"/>
        <v>22143.049999999996</v>
      </c>
      <c r="BO13" s="10">
        <f t="shared" si="182"/>
        <v>59761.049999999996</v>
      </c>
      <c r="BP13" s="10">
        <f t="shared" si="182"/>
        <v>30434.049999999996</v>
      </c>
      <c r="BQ13" s="10">
        <f t="shared" si="182"/>
        <v>23154.049999999996</v>
      </c>
      <c r="BR13" s="10">
        <f t="shared" si="182"/>
        <v>19444.049999999996</v>
      </c>
      <c r="BS13" s="10">
        <f t="shared" si="182"/>
        <v>15734.049999999996</v>
      </c>
      <c r="BT13" s="10">
        <f t="shared" si="182"/>
        <v>31514.049999999996</v>
      </c>
      <c r="BU13" s="10">
        <f t="shared" si="182"/>
        <v>28794.049999999996</v>
      </c>
      <c r="BV13" s="10">
        <f t="shared" si="182"/>
        <v>11962.049999999996</v>
      </c>
      <c r="BW13" s="10">
        <f t="shared" si="182"/>
        <v>9242.0499999999956</v>
      </c>
      <c r="BX13" s="10">
        <f t="shared" si="182"/>
        <v>46522.049999999996</v>
      </c>
      <c r="BY13" s="57">
        <f t="shared" ref="BY13" si="184">BY7-BY11</f>
        <v>49690.049999999996</v>
      </c>
      <c r="BZ13" s="10">
        <f t="shared" si="181"/>
        <v>40231.049999999996</v>
      </c>
      <c r="CA13" s="10">
        <f t="shared" si="181"/>
        <v>39281.049999999996</v>
      </c>
      <c r="CB13" s="10">
        <f t="shared" si="181"/>
        <v>107031.04999999999</v>
      </c>
      <c r="CC13" s="10">
        <f t="shared" si="181"/>
        <v>99025.049999999988</v>
      </c>
      <c r="CD13" s="10">
        <f t="shared" si="181"/>
        <v>93075.049999999988</v>
      </c>
      <c r="CE13" s="10">
        <f t="shared" si="181"/>
        <v>94349.049999999988</v>
      </c>
      <c r="CF13" s="10">
        <f t="shared" si="181"/>
        <v>88343.049999999988</v>
      </c>
      <c r="CG13" s="10">
        <f t="shared" si="181"/>
        <v>67340.099999999991</v>
      </c>
      <c r="CH13" s="10">
        <f t="shared" si="181"/>
        <v>106436.09999999999</v>
      </c>
      <c r="CI13" s="10">
        <f t="shared" si="181"/>
        <v>110707.09999999999</v>
      </c>
      <c r="CJ13" s="10">
        <f t="shared" si="181"/>
        <v>109978.09999999999</v>
      </c>
      <c r="CK13" s="57">
        <f t="shared" si="181"/>
        <v>121749.09999999999</v>
      </c>
      <c r="CL13" s="10">
        <f t="shared" ref="CL13:CV13" si="185">CL7-CL11</f>
        <v>133520.09999999998</v>
      </c>
      <c r="CM13" s="10">
        <f t="shared" si="185"/>
        <v>186728.59999999998</v>
      </c>
      <c r="CN13" s="10">
        <f t="shared" si="185"/>
        <v>198499.59999999998</v>
      </c>
      <c r="CO13" s="10">
        <f t="shared" si="185"/>
        <v>195470.59999999998</v>
      </c>
      <c r="CP13" s="10">
        <f t="shared" si="185"/>
        <v>207241.59999999998</v>
      </c>
      <c r="CQ13" s="10">
        <f t="shared" si="185"/>
        <v>204012.59999999998</v>
      </c>
      <c r="CR13" s="10">
        <f t="shared" si="185"/>
        <v>200783.59999999998</v>
      </c>
      <c r="CS13" s="10">
        <f t="shared" si="185"/>
        <v>212554.59999999998</v>
      </c>
      <c r="CT13" s="10">
        <f t="shared" si="185"/>
        <v>224325.59999999998</v>
      </c>
      <c r="CU13" s="10">
        <f t="shared" si="185"/>
        <v>236096.59999999998</v>
      </c>
      <c r="CV13" s="10">
        <f t="shared" si="185"/>
        <v>247867.59999999998</v>
      </c>
      <c r="CW13" s="57">
        <f t="shared" ref="CW13:DH13" si="186">CW7-CW11</f>
        <v>259638.59999999998</v>
      </c>
      <c r="CX13" s="10">
        <f t="shared" si="186"/>
        <v>271409.59999999998</v>
      </c>
      <c r="CY13" s="10">
        <f t="shared" si="186"/>
        <v>283180.59999999998</v>
      </c>
      <c r="CZ13" s="10">
        <f t="shared" si="186"/>
        <v>279751.59999999998</v>
      </c>
      <c r="DA13" s="10">
        <f t="shared" si="186"/>
        <v>241522.59999999998</v>
      </c>
      <c r="DB13" s="10">
        <f t="shared" si="186"/>
        <v>233293.59999999998</v>
      </c>
      <c r="DC13" s="10">
        <f t="shared" si="186"/>
        <v>245064.59999999998</v>
      </c>
      <c r="DD13" s="10">
        <f t="shared" si="186"/>
        <v>256835.59999999998</v>
      </c>
      <c r="DE13" s="10">
        <f t="shared" si="186"/>
        <v>268606.59999999998</v>
      </c>
      <c r="DF13" s="10">
        <f t="shared" si="186"/>
        <v>280377.59999999998</v>
      </c>
      <c r="DG13" s="10">
        <f t="shared" si="186"/>
        <v>292148.59999999998</v>
      </c>
      <c r="DH13" s="10">
        <f t="shared" si="186"/>
        <v>303919.59999999998</v>
      </c>
    </row>
    <row r="14" spans="2:112" x14ac:dyDescent="0.25">
      <c r="C14" s="3"/>
      <c r="D14" s="3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4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54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54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54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54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54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54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</row>
    <row r="15" spans="2:112" x14ac:dyDescent="0.25">
      <c r="B15" s="1" t="s">
        <v>2</v>
      </c>
      <c r="C15" s="2">
        <f t="shared" ref="C15:AM15" si="187">C4</f>
        <v>43453</v>
      </c>
      <c r="D15" s="6">
        <f t="shared" si="187"/>
        <v>43465</v>
      </c>
      <c r="E15" s="7">
        <f t="shared" si="187"/>
        <v>43496</v>
      </c>
      <c r="F15" s="6">
        <f t="shared" si="187"/>
        <v>43524</v>
      </c>
      <c r="G15" s="6">
        <f t="shared" si="187"/>
        <v>43555</v>
      </c>
      <c r="H15" s="6">
        <f t="shared" si="187"/>
        <v>43585</v>
      </c>
      <c r="I15" s="6">
        <f t="shared" si="187"/>
        <v>43616</v>
      </c>
      <c r="J15" s="6">
        <f t="shared" si="187"/>
        <v>43646</v>
      </c>
      <c r="K15" s="6">
        <f t="shared" si="187"/>
        <v>43677</v>
      </c>
      <c r="L15" s="6">
        <f t="shared" si="187"/>
        <v>43708</v>
      </c>
      <c r="M15" s="6">
        <f t="shared" si="187"/>
        <v>43738</v>
      </c>
      <c r="N15" s="6">
        <f t="shared" si="187"/>
        <v>43769</v>
      </c>
      <c r="O15" s="6">
        <f t="shared" si="187"/>
        <v>43799</v>
      </c>
      <c r="P15" s="6">
        <f t="shared" si="187"/>
        <v>43830</v>
      </c>
      <c r="Q15" s="7">
        <f t="shared" si="187"/>
        <v>43861</v>
      </c>
      <c r="R15" s="6">
        <f t="shared" si="187"/>
        <v>43890</v>
      </c>
      <c r="S15" s="6">
        <f t="shared" si="187"/>
        <v>43921</v>
      </c>
      <c r="T15" s="6">
        <f t="shared" si="187"/>
        <v>43951</v>
      </c>
      <c r="U15" s="6">
        <f t="shared" si="187"/>
        <v>43982</v>
      </c>
      <c r="V15" s="6">
        <f t="shared" si="187"/>
        <v>44012</v>
      </c>
      <c r="W15" s="6">
        <f t="shared" si="187"/>
        <v>44043</v>
      </c>
      <c r="X15" s="6">
        <f t="shared" si="187"/>
        <v>44074</v>
      </c>
      <c r="Y15" s="6">
        <f t="shared" si="187"/>
        <v>44104</v>
      </c>
      <c r="Z15" s="6">
        <f t="shared" si="187"/>
        <v>44135</v>
      </c>
      <c r="AA15" s="6">
        <f t="shared" si="187"/>
        <v>44165</v>
      </c>
      <c r="AB15" s="6">
        <f t="shared" si="187"/>
        <v>44196</v>
      </c>
      <c r="AC15" s="7">
        <f t="shared" si="187"/>
        <v>44227</v>
      </c>
      <c r="AD15" s="6">
        <f t="shared" si="187"/>
        <v>44255</v>
      </c>
      <c r="AE15" s="6">
        <f t="shared" si="187"/>
        <v>44286</v>
      </c>
      <c r="AF15" s="6">
        <f t="shared" si="187"/>
        <v>44316</v>
      </c>
      <c r="AG15" s="6">
        <f t="shared" si="187"/>
        <v>44347</v>
      </c>
      <c r="AH15" s="6">
        <f t="shared" si="187"/>
        <v>44377</v>
      </c>
      <c r="AI15" s="6">
        <f t="shared" si="187"/>
        <v>44408</v>
      </c>
      <c r="AJ15" s="6">
        <f t="shared" si="187"/>
        <v>44439</v>
      </c>
      <c r="AK15" s="6">
        <f t="shared" si="187"/>
        <v>44469</v>
      </c>
      <c r="AL15" s="6">
        <f t="shared" si="187"/>
        <v>44500</v>
      </c>
      <c r="AM15" s="6">
        <f t="shared" si="187"/>
        <v>44530</v>
      </c>
      <c r="AN15" s="6">
        <f t="shared" ref="AN15:AY15" si="188">AN4</f>
        <v>44561</v>
      </c>
      <c r="AO15" s="52">
        <f t="shared" si="188"/>
        <v>44592</v>
      </c>
      <c r="AP15" s="6">
        <f t="shared" si="188"/>
        <v>44620</v>
      </c>
      <c r="AQ15" s="6">
        <f t="shared" si="188"/>
        <v>44651</v>
      </c>
      <c r="AR15" s="6">
        <f t="shared" si="188"/>
        <v>44681</v>
      </c>
      <c r="AS15" s="6">
        <f t="shared" si="188"/>
        <v>44712</v>
      </c>
      <c r="AT15" s="6">
        <f t="shared" si="188"/>
        <v>44742</v>
      </c>
      <c r="AU15" s="6">
        <f t="shared" si="188"/>
        <v>44773</v>
      </c>
      <c r="AV15" s="6">
        <f t="shared" si="188"/>
        <v>44804</v>
      </c>
      <c r="AW15" s="6">
        <f t="shared" si="188"/>
        <v>44834</v>
      </c>
      <c r="AX15" s="6">
        <f t="shared" si="188"/>
        <v>44865</v>
      </c>
      <c r="AY15" s="6">
        <f t="shared" si="188"/>
        <v>44895</v>
      </c>
      <c r="AZ15" s="6">
        <f t="shared" ref="AZ15:CK15" si="189">AZ4</f>
        <v>44926</v>
      </c>
      <c r="BA15" s="52">
        <f t="shared" ref="BA15:BX15" si="190">BA4</f>
        <v>44957</v>
      </c>
      <c r="BB15" s="6">
        <f t="shared" si="190"/>
        <v>44985</v>
      </c>
      <c r="BC15" s="6">
        <f t="shared" si="190"/>
        <v>45016</v>
      </c>
      <c r="BD15" s="6">
        <f t="shared" si="190"/>
        <v>45046</v>
      </c>
      <c r="BE15" s="6">
        <f t="shared" si="190"/>
        <v>45077</v>
      </c>
      <c r="BF15" s="6">
        <f t="shared" si="190"/>
        <v>45107</v>
      </c>
      <c r="BG15" s="6">
        <f t="shared" si="190"/>
        <v>45138</v>
      </c>
      <c r="BH15" s="6">
        <f t="shared" si="190"/>
        <v>45169</v>
      </c>
      <c r="BI15" s="6">
        <f t="shared" si="190"/>
        <v>45199</v>
      </c>
      <c r="BJ15" s="6">
        <f t="shared" si="190"/>
        <v>45230</v>
      </c>
      <c r="BK15" s="6">
        <f t="shared" si="190"/>
        <v>45260</v>
      </c>
      <c r="BL15" s="6">
        <f t="shared" si="190"/>
        <v>45291</v>
      </c>
      <c r="BM15" s="52">
        <f t="shared" ref="BM15" si="191">BM4</f>
        <v>45322</v>
      </c>
      <c r="BN15" s="6">
        <f t="shared" si="190"/>
        <v>45351</v>
      </c>
      <c r="BO15" s="6">
        <f t="shared" si="190"/>
        <v>45382</v>
      </c>
      <c r="BP15" s="6">
        <f t="shared" si="190"/>
        <v>45412</v>
      </c>
      <c r="BQ15" s="6">
        <f t="shared" si="190"/>
        <v>45443</v>
      </c>
      <c r="BR15" s="6">
        <f t="shared" si="190"/>
        <v>45473</v>
      </c>
      <c r="BS15" s="6">
        <f t="shared" si="190"/>
        <v>45504</v>
      </c>
      <c r="BT15" s="6">
        <f t="shared" si="190"/>
        <v>45535</v>
      </c>
      <c r="BU15" s="6">
        <f t="shared" si="190"/>
        <v>45565</v>
      </c>
      <c r="BV15" s="6">
        <f t="shared" si="190"/>
        <v>45596</v>
      </c>
      <c r="BW15" s="6">
        <f t="shared" si="190"/>
        <v>45626</v>
      </c>
      <c r="BX15" s="6">
        <f t="shared" si="190"/>
        <v>45657</v>
      </c>
      <c r="BY15" s="52">
        <f t="shared" ref="BY15" si="192">BY4</f>
        <v>45688</v>
      </c>
      <c r="BZ15" s="6">
        <f t="shared" si="189"/>
        <v>45716</v>
      </c>
      <c r="CA15" s="6">
        <f t="shared" si="189"/>
        <v>45747</v>
      </c>
      <c r="CB15" s="6">
        <f t="shared" si="189"/>
        <v>45777</v>
      </c>
      <c r="CC15" s="6">
        <f t="shared" si="189"/>
        <v>45808</v>
      </c>
      <c r="CD15" s="6">
        <f t="shared" si="189"/>
        <v>45838</v>
      </c>
      <c r="CE15" s="6">
        <f t="shared" si="189"/>
        <v>45869</v>
      </c>
      <c r="CF15" s="6">
        <f t="shared" si="189"/>
        <v>45900</v>
      </c>
      <c r="CG15" s="6">
        <f t="shared" si="189"/>
        <v>45930</v>
      </c>
      <c r="CH15" s="6">
        <f t="shared" si="189"/>
        <v>45961</v>
      </c>
      <c r="CI15" s="6">
        <f t="shared" si="189"/>
        <v>45991</v>
      </c>
      <c r="CJ15" s="6">
        <f t="shared" si="189"/>
        <v>46022</v>
      </c>
      <c r="CK15" s="52">
        <f t="shared" si="189"/>
        <v>46053</v>
      </c>
      <c r="CL15" s="6">
        <f t="shared" ref="CL15:CV15" si="193">CL4</f>
        <v>46081</v>
      </c>
      <c r="CM15" s="6">
        <f t="shared" si="193"/>
        <v>46112</v>
      </c>
      <c r="CN15" s="6">
        <f t="shared" si="193"/>
        <v>46142</v>
      </c>
      <c r="CO15" s="6">
        <f t="shared" si="193"/>
        <v>46173</v>
      </c>
      <c r="CP15" s="6">
        <f t="shared" si="193"/>
        <v>46203</v>
      </c>
      <c r="CQ15" s="6">
        <f t="shared" si="193"/>
        <v>46234</v>
      </c>
      <c r="CR15" s="6">
        <f t="shared" si="193"/>
        <v>46265</v>
      </c>
      <c r="CS15" s="6">
        <f t="shared" si="193"/>
        <v>46295</v>
      </c>
      <c r="CT15" s="6">
        <f t="shared" si="193"/>
        <v>46326</v>
      </c>
      <c r="CU15" s="6">
        <f t="shared" si="193"/>
        <v>46356</v>
      </c>
      <c r="CV15" s="6">
        <f t="shared" si="193"/>
        <v>46387</v>
      </c>
      <c r="CW15" s="52">
        <f t="shared" ref="CW15:DH15" si="194">CW4</f>
        <v>46418</v>
      </c>
      <c r="CX15" s="6">
        <f t="shared" si="194"/>
        <v>46446</v>
      </c>
      <c r="CY15" s="6">
        <f t="shared" si="194"/>
        <v>46477</v>
      </c>
      <c r="CZ15" s="6">
        <f t="shared" si="194"/>
        <v>46507</v>
      </c>
      <c r="DA15" s="6">
        <f t="shared" si="194"/>
        <v>46538</v>
      </c>
      <c r="DB15" s="6">
        <f t="shared" si="194"/>
        <v>46568</v>
      </c>
      <c r="DC15" s="6">
        <f t="shared" si="194"/>
        <v>46599</v>
      </c>
      <c r="DD15" s="6">
        <f t="shared" si="194"/>
        <v>46630</v>
      </c>
      <c r="DE15" s="6">
        <f t="shared" si="194"/>
        <v>46660</v>
      </c>
      <c r="DF15" s="6">
        <f t="shared" si="194"/>
        <v>46691</v>
      </c>
      <c r="DG15" s="6">
        <f t="shared" si="194"/>
        <v>46721</v>
      </c>
      <c r="DH15" s="6">
        <f t="shared" si="194"/>
        <v>46752</v>
      </c>
    </row>
    <row r="16" spans="2:112" x14ac:dyDescent="0.25">
      <c r="B16" s="18" t="s">
        <v>14</v>
      </c>
      <c r="C16" s="29"/>
      <c r="D16" s="19">
        <v>11800</v>
      </c>
      <c r="E16" s="21">
        <f>D16</f>
        <v>11800</v>
      </c>
      <c r="F16" s="20">
        <f>E16</f>
        <v>11800</v>
      </c>
      <c r="G16" s="20">
        <f>F16</f>
        <v>11800</v>
      </c>
      <c r="H16" s="20">
        <f>G16</f>
        <v>11800</v>
      </c>
      <c r="I16" s="20">
        <f>H16</f>
        <v>11800</v>
      </c>
      <c r="J16" s="20">
        <f t="shared" ref="J16:O16" si="195">I16</f>
        <v>11800</v>
      </c>
      <c r="K16" s="20">
        <f t="shared" si="195"/>
        <v>11800</v>
      </c>
      <c r="L16" s="20">
        <f t="shared" si="195"/>
        <v>11800</v>
      </c>
      <c r="M16" s="20">
        <f t="shared" si="195"/>
        <v>11800</v>
      </c>
      <c r="N16" s="20">
        <f t="shared" si="195"/>
        <v>11800</v>
      </c>
      <c r="O16" s="20">
        <f t="shared" si="195"/>
        <v>11800</v>
      </c>
      <c r="P16" s="20"/>
      <c r="Q16" s="30">
        <v>6500</v>
      </c>
      <c r="R16" s="20">
        <f t="shared" ref="R16:Z16" si="196">Q16</f>
        <v>6500</v>
      </c>
      <c r="S16" s="20">
        <f t="shared" si="196"/>
        <v>6500</v>
      </c>
      <c r="T16" s="20">
        <f t="shared" si="196"/>
        <v>6500</v>
      </c>
      <c r="U16" s="20">
        <f t="shared" si="196"/>
        <v>6500</v>
      </c>
      <c r="V16" s="20">
        <f t="shared" si="196"/>
        <v>6500</v>
      </c>
      <c r="W16" s="20">
        <f t="shared" si="196"/>
        <v>6500</v>
      </c>
      <c r="X16" s="20">
        <f t="shared" si="196"/>
        <v>6500</v>
      </c>
      <c r="Y16" s="20">
        <f t="shared" si="196"/>
        <v>6500</v>
      </c>
      <c r="Z16" s="20">
        <f t="shared" si="196"/>
        <v>6500</v>
      </c>
      <c r="AA16" s="20">
        <f t="shared" ref="AA16" si="197">Z16</f>
        <v>6500</v>
      </c>
      <c r="AB16" s="20">
        <f t="shared" ref="AB16" si="198">AA16</f>
        <v>6500</v>
      </c>
      <c r="AC16" s="21">
        <f t="shared" ref="AC16" si="199">AB16</f>
        <v>6500</v>
      </c>
      <c r="AD16" s="20">
        <f t="shared" ref="AD16" si="200">AC16</f>
        <v>6500</v>
      </c>
      <c r="AE16" s="20">
        <f t="shared" ref="AE16" si="201">AD16</f>
        <v>6500</v>
      </c>
      <c r="AF16" s="20">
        <f t="shared" ref="AF16" si="202">AE16</f>
        <v>6500</v>
      </c>
      <c r="AG16" s="64">
        <v>1300</v>
      </c>
      <c r="AH16" s="20">
        <f t="shared" ref="AH16" si="203">AG16</f>
        <v>1300</v>
      </c>
      <c r="AI16" s="20">
        <f t="shared" ref="AI16" si="204">AH16</f>
        <v>1300</v>
      </c>
      <c r="AJ16" s="64">
        <v>4200</v>
      </c>
      <c r="AK16" s="64">
        <f>10000*0.85+1400</f>
        <v>9900</v>
      </c>
      <c r="AL16" s="64">
        <v>9680</v>
      </c>
      <c r="AM16" s="20">
        <f>AL16</f>
        <v>9680</v>
      </c>
      <c r="AN16" s="20">
        <f t="shared" ref="AN16" si="205">AM16</f>
        <v>9680</v>
      </c>
      <c r="AO16" s="53">
        <f t="shared" ref="AO16:AO18" si="206">AN16</f>
        <v>9680</v>
      </c>
      <c r="AP16" s="20">
        <f t="shared" ref="AP16" si="207">AO16</f>
        <v>9680</v>
      </c>
      <c r="AQ16" s="20">
        <f t="shared" ref="AQ16" si="208">AP16</f>
        <v>9680</v>
      </c>
      <c r="AR16" s="20">
        <f t="shared" ref="AR16" si="209">AQ16</f>
        <v>9680</v>
      </c>
      <c r="AS16" s="20">
        <f t="shared" ref="AS16" si="210">AR16</f>
        <v>9680</v>
      </c>
      <c r="AT16" s="20">
        <f t="shared" ref="AT16" si="211">AS16</f>
        <v>9680</v>
      </c>
      <c r="AU16" s="20">
        <f t="shared" ref="AU16" si="212">AT16</f>
        <v>9680</v>
      </c>
      <c r="AV16" s="20">
        <f t="shared" ref="AV16" si="213">AU16</f>
        <v>9680</v>
      </c>
      <c r="AW16" s="20">
        <f t="shared" ref="AW16" si="214">AV16</f>
        <v>9680</v>
      </c>
      <c r="AX16" s="20">
        <f t="shared" ref="AX16" si="215">AW16</f>
        <v>9680</v>
      </c>
      <c r="AY16" s="20">
        <f t="shared" ref="AY16" si="216">AX16</f>
        <v>9680</v>
      </c>
      <c r="AZ16" s="20">
        <f t="shared" ref="AZ16" si="217">AY16</f>
        <v>9680</v>
      </c>
      <c r="BA16" s="53">
        <f>AZ16</f>
        <v>9680</v>
      </c>
      <c r="BB16" s="20">
        <f t="shared" ref="BB16" si="218">BA16</f>
        <v>9680</v>
      </c>
      <c r="BC16" s="20">
        <f t="shared" ref="BC16" si="219">BB16</f>
        <v>9680</v>
      </c>
      <c r="BD16" s="20">
        <f t="shared" ref="BD16" si="220">BC16</f>
        <v>9680</v>
      </c>
      <c r="BE16" s="20">
        <f t="shared" ref="BE16" si="221">BD16</f>
        <v>9680</v>
      </c>
      <c r="BF16" s="20">
        <f t="shared" ref="BF16" si="222">BE16</f>
        <v>9680</v>
      </c>
      <c r="BG16" s="20">
        <f t="shared" ref="BG16" si="223">BF16</f>
        <v>9680</v>
      </c>
      <c r="BH16" s="20">
        <f t="shared" ref="BH16" si="224">BG16</f>
        <v>9680</v>
      </c>
      <c r="BI16" s="20">
        <f t="shared" ref="BI16" si="225">BH16</f>
        <v>9680</v>
      </c>
      <c r="BJ16" s="20">
        <f t="shared" ref="BJ16" si="226">BI16</f>
        <v>9680</v>
      </c>
      <c r="BK16" s="20">
        <f t="shared" ref="BK16" si="227">BJ16</f>
        <v>9680</v>
      </c>
      <c r="BL16" s="20">
        <f t="shared" ref="BL16:BM16" si="228">BK16</f>
        <v>9680</v>
      </c>
      <c r="BM16" s="53">
        <f t="shared" si="228"/>
        <v>9680</v>
      </c>
      <c r="BN16" s="20">
        <f t="shared" ref="BN16" si="229">BM16</f>
        <v>9680</v>
      </c>
      <c r="BO16" s="20">
        <f t="shared" ref="BO16" si="230">BN16</f>
        <v>9680</v>
      </c>
      <c r="BP16" s="20">
        <f t="shared" ref="BP16" si="231">BO16</f>
        <v>9680</v>
      </c>
      <c r="BQ16" s="20">
        <f t="shared" ref="BQ16" si="232">BP16</f>
        <v>9680</v>
      </c>
      <c r="BR16" s="19">
        <f>180000/12*0.85</f>
        <v>12750</v>
      </c>
      <c r="BS16" s="20">
        <f t="shared" ref="BS16:BU16" si="233">BR16</f>
        <v>12750</v>
      </c>
      <c r="BT16" s="20">
        <f t="shared" si="233"/>
        <v>12750</v>
      </c>
      <c r="BU16" s="20">
        <f t="shared" si="233"/>
        <v>12750</v>
      </c>
      <c r="BV16" s="20">
        <f t="shared" ref="BV16" si="234">BU16</f>
        <v>12750</v>
      </c>
      <c r="BW16" s="20">
        <f t="shared" ref="BW16" si="235">BV16</f>
        <v>12750</v>
      </c>
      <c r="BX16" s="20">
        <f t="shared" ref="BX16:BY16" si="236">BW16</f>
        <v>12750</v>
      </c>
      <c r="BY16" s="20">
        <f t="shared" si="236"/>
        <v>12750</v>
      </c>
      <c r="BZ16" s="20">
        <f t="shared" ref="BZ16" si="237">BY16</f>
        <v>12750</v>
      </c>
      <c r="CA16" s="20">
        <f t="shared" ref="CA16" si="238">BZ16</f>
        <v>12750</v>
      </c>
      <c r="CB16" s="20">
        <f t="shared" ref="CB16" si="239">CA16</f>
        <v>12750</v>
      </c>
      <c r="CC16" s="20">
        <f t="shared" ref="CC16" si="240">CB16</f>
        <v>12750</v>
      </c>
      <c r="CD16" s="20">
        <f t="shared" ref="CD16" si="241">CC16</f>
        <v>12750</v>
      </c>
      <c r="CE16" s="20">
        <f t="shared" ref="CE16" si="242">CD16</f>
        <v>12750</v>
      </c>
      <c r="CF16" s="20">
        <f t="shared" ref="CF16" si="243">CE16</f>
        <v>12750</v>
      </c>
      <c r="CG16" s="19">
        <f>10000*0.9</f>
        <v>9000</v>
      </c>
      <c r="CH16" s="20">
        <f t="shared" ref="CH16" si="244">CG16</f>
        <v>9000</v>
      </c>
      <c r="CI16" s="64">
        <f>19500*0.85+600</f>
        <v>17175</v>
      </c>
      <c r="CJ16" s="20">
        <f t="shared" ref="CJ16" si="245">CI16</f>
        <v>17175</v>
      </c>
      <c r="CK16" s="53">
        <f t="shared" ref="CK16" si="246">CJ16</f>
        <v>17175</v>
      </c>
      <c r="CL16" s="20">
        <f t="shared" ref="CL16" si="247">CK16</f>
        <v>17175</v>
      </c>
      <c r="CM16" s="20">
        <f t="shared" ref="CM16" si="248">CL16</f>
        <v>17175</v>
      </c>
      <c r="CN16" s="20">
        <f t="shared" ref="CN16" si="249">CM16</f>
        <v>17175</v>
      </c>
      <c r="CO16" s="20">
        <f t="shared" ref="CO16" si="250">CN16</f>
        <v>17175</v>
      </c>
      <c r="CP16" s="20">
        <f t="shared" ref="CP16" si="251">CO16</f>
        <v>17175</v>
      </c>
      <c r="CQ16" s="20">
        <f t="shared" ref="CQ16" si="252">CP16</f>
        <v>17175</v>
      </c>
      <c r="CR16" s="20">
        <f t="shared" ref="CR16" si="253">CQ16</f>
        <v>17175</v>
      </c>
      <c r="CS16" s="20">
        <f t="shared" ref="CS16" si="254">CR16</f>
        <v>17175</v>
      </c>
      <c r="CT16" s="20">
        <f t="shared" ref="CT16" si="255">CS16</f>
        <v>17175</v>
      </c>
      <c r="CU16" s="20">
        <f t="shared" ref="CU16" si="256">CT16</f>
        <v>17175</v>
      </c>
      <c r="CV16" s="20">
        <f t="shared" ref="CV16" si="257">CU16</f>
        <v>17175</v>
      </c>
      <c r="CW16" s="53">
        <f t="shared" ref="CW16" si="258">CV16</f>
        <v>17175</v>
      </c>
      <c r="CX16" s="20">
        <f t="shared" ref="CX16" si="259">CW16</f>
        <v>17175</v>
      </c>
      <c r="CY16" s="20">
        <f t="shared" ref="CY16" si="260">CX16</f>
        <v>17175</v>
      </c>
      <c r="CZ16" s="20">
        <f t="shared" ref="CZ16" si="261">CY16</f>
        <v>17175</v>
      </c>
      <c r="DA16" s="20">
        <f t="shared" ref="DA16" si="262">CZ16</f>
        <v>17175</v>
      </c>
      <c r="DB16" s="20">
        <f t="shared" ref="DB16" si="263">DA16</f>
        <v>17175</v>
      </c>
      <c r="DC16" s="20">
        <f t="shared" ref="DC16" si="264">DB16</f>
        <v>17175</v>
      </c>
      <c r="DD16" s="20">
        <f t="shared" ref="DD16" si="265">DC16</f>
        <v>17175</v>
      </c>
      <c r="DE16" s="20">
        <f t="shared" ref="DE16" si="266">DD16</f>
        <v>17175</v>
      </c>
      <c r="DF16" s="20">
        <f t="shared" ref="DF16" si="267">DE16</f>
        <v>17175</v>
      </c>
      <c r="DG16" s="20">
        <f t="shared" ref="DG16" si="268">DF16</f>
        <v>17175</v>
      </c>
      <c r="DH16" s="20">
        <f t="shared" ref="DH16" si="269">DG16</f>
        <v>17175</v>
      </c>
    </row>
    <row r="17" spans="2:112" x14ac:dyDescent="0.25">
      <c r="B17" s="22" t="s">
        <v>15</v>
      </c>
      <c r="C17" s="31"/>
      <c r="D17" s="23"/>
      <c r="E17" s="25"/>
      <c r="F17" s="23">
        <v>12000</v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34"/>
      <c r="AD17" s="23">
        <v>2000</v>
      </c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58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58"/>
      <c r="BB17" s="23"/>
      <c r="BC17" s="81">
        <f>26295-BC16</f>
        <v>16615</v>
      </c>
      <c r="BD17" s="23"/>
      <c r="BE17" s="23"/>
      <c r="BF17" s="23"/>
      <c r="BG17" s="23"/>
      <c r="BH17" s="23"/>
      <c r="BI17" s="23"/>
      <c r="BJ17" s="23"/>
      <c r="BK17" s="23"/>
      <c r="BL17" s="23"/>
      <c r="BM17" s="58"/>
      <c r="BN17" s="23"/>
      <c r="BO17" s="19">
        <f>28199-BO16</f>
        <v>18519</v>
      </c>
      <c r="BP17" s="23"/>
      <c r="BQ17" s="23"/>
      <c r="BR17" s="23"/>
      <c r="BS17" s="23"/>
      <c r="BT17" s="23"/>
      <c r="BU17" s="23"/>
      <c r="BV17" s="23"/>
      <c r="BW17" s="23"/>
      <c r="BX17" s="23"/>
      <c r="BY17" s="90"/>
      <c r="BZ17" s="23"/>
      <c r="CA17" s="23"/>
      <c r="CB17" s="23">
        <f>42000*0.85</f>
        <v>35700</v>
      </c>
      <c r="CC17" s="23"/>
      <c r="CD17" s="23"/>
      <c r="CE17" s="23"/>
      <c r="CF17" s="23"/>
      <c r="CG17" s="23"/>
      <c r="CH17" s="23"/>
      <c r="CI17" s="23"/>
      <c r="CJ17" s="23"/>
      <c r="CK17" s="58"/>
      <c r="CL17" s="23"/>
      <c r="CM17" s="23">
        <f>195000/12*3*100%*0.85</f>
        <v>41437.5</v>
      </c>
      <c r="CN17" s="23"/>
      <c r="CO17" s="23"/>
      <c r="CP17" s="23"/>
      <c r="CQ17" s="23"/>
      <c r="CR17" s="23"/>
      <c r="CS17" s="23"/>
      <c r="CT17" s="23"/>
      <c r="CU17" s="23"/>
      <c r="CV17" s="23"/>
      <c r="CW17" s="58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</row>
    <row r="18" spans="2:112" x14ac:dyDescent="0.25">
      <c r="B18" s="18" t="s">
        <v>27</v>
      </c>
      <c r="C18" s="29"/>
      <c r="D18" s="19">
        <v>9800</v>
      </c>
      <c r="E18" s="21">
        <f t="shared" ref="E18:K18" si="270">D18</f>
        <v>9800</v>
      </c>
      <c r="F18" s="20">
        <f t="shared" si="270"/>
        <v>9800</v>
      </c>
      <c r="G18" s="20">
        <f t="shared" si="270"/>
        <v>9800</v>
      </c>
      <c r="H18" s="20">
        <f t="shared" si="270"/>
        <v>9800</v>
      </c>
      <c r="I18" s="20">
        <f t="shared" si="270"/>
        <v>9800</v>
      </c>
      <c r="J18" s="20">
        <f t="shared" si="270"/>
        <v>9800</v>
      </c>
      <c r="K18" s="20">
        <f t="shared" si="270"/>
        <v>9800</v>
      </c>
      <c r="L18" s="20">
        <f t="shared" ref="L18" si="271">K18</f>
        <v>9800</v>
      </c>
      <c r="M18" s="20">
        <f t="shared" ref="M18" si="272">L18</f>
        <v>9800</v>
      </c>
      <c r="N18" s="20">
        <f t="shared" ref="N18" si="273">M18</f>
        <v>9800</v>
      </c>
      <c r="O18" s="20">
        <f t="shared" ref="O18" si="274">N18</f>
        <v>9800</v>
      </c>
      <c r="P18" s="20">
        <f t="shared" ref="P18:Q18" si="275">O18</f>
        <v>9800</v>
      </c>
      <c r="Q18" s="39">
        <f t="shared" si="275"/>
        <v>9800</v>
      </c>
      <c r="R18" s="20">
        <f t="shared" ref="R18" si="276">Q18</f>
        <v>9800</v>
      </c>
      <c r="S18" s="20">
        <f t="shared" ref="S18" si="277">R18</f>
        <v>9800</v>
      </c>
      <c r="T18" s="20">
        <f t="shared" ref="T18" si="278">S18</f>
        <v>9800</v>
      </c>
      <c r="U18" s="20">
        <f t="shared" ref="U18" si="279">T18</f>
        <v>9800</v>
      </c>
      <c r="V18" s="20">
        <f t="shared" ref="V18" si="280">U18</f>
        <v>9800</v>
      </c>
      <c r="W18" s="20">
        <f t="shared" ref="W18" si="281">V18</f>
        <v>9800</v>
      </c>
      <c r="X18" s="20">
        <f t="shared" ref="X18" si="282">W18</f>
        <v>9800</v>
      </c>
      <c r="Y18" s="20">
        <f t="shared" ref="Y18" si="283">X18</f>
        <v>9800</v>
      </c>
      <c r="Z18" s="20">
        <f t="shared" ref="Z18" si="284">Y18</f>
        <v>9800</v>
      </c>
      <c r="AA18" s="20">
        <f t="shared" ref="AA18" si="285">Z18</f>
        <v>9800</v>
      </c>
      <c r="AB18" s="20">
        <f t="shared" ref="AB18" si="286">AA18</f>
        <v>9800</v>
      </c>
      <c r="AC18" s="21">
        <f t="shared" ref="AC18" si="287">AB18</f>
        <v>9800</v>
      </c>
      <c r="AD18" s="20">
        <f t="shared" ref="AD18" si="288">AC18</f>
        <v>9800</v>
      </c>
      <c r="AE18" s="20">
        <f t="shared" ref="AE18" si="289">AD18</f>
        <v>9800</v>
      </c>
      <c r="AF18" s="20">
        <f t="shared" ref="AF18" si="290">AE18</f>
        <v>9800</v>
      </c>
      <c r="AG18" s="20">
        <f t="shared" ref="AG18:AH18" si="291">AF18</f>
        <v>9800</v>
      </c>
      <c r="AH18" s="20">
        <f t="shared" si="291"/>
        <v>9800</v>
      </c>
      <c r="AI18" s="20">
        <f>AG18</f>
        <v>9800</v>
      </c>
      <c r="AJ18" s="20">
        <f t="shared" ref="AJ18" si="292">AI18</f>
        <v>9800</v>
      </c>
      <c r="AK18" s="20">
        <f t="shared" ref="AK18" si="293">AJ18</f>
        <v>9800</v>
      </c>
      <c r="AL18" s="20">
        <f t="shared" ref="AL18" si="294">AK18</f>
        <v>9800</v>
      </c>
      <c r="AM18" s="20">
        <f t="shared" ref="AM18" si="295">AL18</f>
        <v>9800</v>
      </c>
      <c r="AN18" s="20">
        <f t="shared" ref="AN18" si="296">AM18</f>
        <v>9800</v>
      </c>
      <c r="AO18" s="53">
        <f t="shared" si="206"/>
        <v>9800</v>
      </c>
      <c r="AP18" s="20">
        <f t="shared" ref="AP18:AQ18" si="297">AO18</f>
        <v>9800</v>
      </c>
      <c r="AQ18" s="20">
        <f t="shared" si="297"/>
        <v>9800</v>
      </c>
      <c r="AR18" s="71"/>
      <c r="AS18" s="71">
        <v>14648.1</v>
      </c>
      <c r="AT18" s="20"/>
      <c r="AU18" s="19">
        <v>8480.5</v>
      </c>
      <c r="AV18" s="20"/>
      <c r="AW18" s="20"/>
      <c r="AX18" s="19">
        <v>16961</v>
      </c>
      <c r="AY18" s="19">
        <v>5011</v>
      </c>
      <c r="AZ18" s="20"/>
      <c r="BA18" s="53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53"/>
      <c r="BN18" s="20">
        <f t="shared" ref="BN18" si="298">BM18</f>
        <v>0</v>
      </c>
      <c r="BO18" s="20">
        <f t="shared" ref="BO18" si="299">BN18</f>
        <v>0</v>
      </c>
      <c r="BP18" s="20">
        <f t="shared" ref="BP18" si="300">BO18</f>
        <v>0</v>
      </c>
      <c r="BQ18" s="20">
        <f t="shared" ref="BQ18" si="301">BP18</f>
        <v>0</v>
      </c>
      <c r="BR18" s="20">
        <f t="shared" ref="BR18" si="302">BQ18</f>
        <v>0</v>
      </c>
      <c r="BS18" s="20">
        <f t="shared" ref="BS18" si="303">BR18</f>
        <v>0</v>
      </c>
      <c r="BT18" s="20">
        <f t="shared" ref="BT18" si="304">BS18</f>
        <v>0</v>
      </c>
      <c r="BU18" s="20">
        <f t="shared" ref="BU18" si="305">BT18</f>
        <v>0</v>
      </c>
      <c r="BV18" s="20">
        <f t="shared" ref="BV18" si="306">BU18</f>
        <v>0</v>
      </c>
      <c r="BW18" s="20">
        <f t="shared" ref="BW18" si="307">BV18</f>
        <v>0</v>
      </c>
      <c r="BX18" s="20">
        <f t="shared" ref="BX18" si="308">BW18</f>
        <v>0</v>
      </c>
      <c r="BY18" s="53"/>
      <c r="BZ18" s="20">
        <f t="shared" ref="BZ18" si="309">BY18</f>
        <v>0</v>
      </c>
      <c r="CA18" s="20">
        <f t="shared" ref="CA18" si="310">BZ18</f>
        <v>0</v>
      </c>
      <c r="CB18" s="20">
        <f t="shared" ref="CB18" si="311">CA18</f>
        <v>0</v>
      </c>
      <c r="CC18" s="20">
        <f t="shared" ref="CC18" si="312">CB18</f>
        <v>0</v>
      </c>
      <c r="CD18" s="20">
        <f t="shared" ref="CD18" si="313">CC18</f>
        <v>0</v>
      </c>
      <c r="CE18" s="20">
        <f t="shared" ref="CE18" si="314">CD18</f>
        <v>0</v>
      </c>
      <c r="CF18" s="20">
        <f t="shared" ref="CF18" si="315">CE18</f>
        <v>0</v>
      </c>
      <c r="CG18" s="20">
        <f t="shared" ref="CG18" si="316">CF18</f>
        <v>0</v>
      </c>
      <c r="CH18" s="20">
        <f t="shared" ref="CH18" si="317">CG18</f>
        <v>0</v>
      </c>
      <c r="CI18" s="20">
        <f t="shared" ref="CI18" si="318">CH18</f>
        <v>0</v>
      </c>
      <c r="CJ18" s="20">
        <f t="shared" ref="CJ18" si="319">CI18</f>
        <v>0</v>
      </c>
      <c r="CK18" s="53"/>
      <c r="CL18" s="20">
        <f t="shared" ref="CL18" si="320">CK18</f>
        <v>0</v>
      </c>
      <c r="CM18" s="20">
        <f t="shared" ref="CM18" si="321">CL18</f>
        <v>0</v>
      </c>
      <c r="CN18" s="20">
        <f t="shared" ref="CN18" si="322">CM18</f>
        <v>0</v>
      </c>
      <c r="CO18" s="20">
        <f t="shared" ref="CO18" si="323">CN18</f>
        <v>0</v>
      </c>
      <c r="CP18" s="20">
        <f t="shared" ref="CP18" si="324">CO18</f>
        <v>0</v>
      </c>
      <c r="CQ18" s="20">
        <f t="shared" ref="CQ18" si="325">CP18</f>
        <v>0</v>
      </c>
      <c r="CR18" s="20">
        <f t="shared" ref="CR18" si="326">CQ18</f>
        <v>0</v>
      </c>
      <c r="CS18" s="20">
        <f t="shared" ref="CS18" si="327">CR18</f>
        <v>0</v>
      </c>
      <c r="CT18" s="20">
        <f t="shared" ref="CT18" si="328">CS18</f>
        <v>0</v>
      </c>
      <c r="CU18" s="20">
        <f t="shared" ref="CU18" si="329">CT18</f>
        <v>0</v>
      </c>
      <c r="CV18" s="20">
        <f t="shared" ref="CV18" si="330">CU18</f>
        <v>0</v>
      </c>
      <c r="CW18" s="53">
        <f t="shared" ref="CW18" si="331">CV18</f>
        <v>0</v>
      </c>
      <c r="CX18" s="20">
        <f t="shared" ref="CX18" si="332">CW18</f>
        <v>0</v>
      </c>
      <c r="CY18" s="20">
        <f t="shared" ref="CY18" si="333">CX18</f>
        <v>0</v>
      </c>
      <c r="CZ18" s="20">
        <f t="shared" ref="CZ18" si="334">CY18</f>
        <v>0</v>
      </c>
      <c r="DA18" s="20">
        <f t="shared" ref="DA18" si="335">CZ18</f>
        <v>0</v>
      </c>
      <c r="DB18" s="20">
        <f t="shared" ref="DB18" si="336">DA18</f>
        <v>0</v>
      </c>
      <c r="DC18" s="20">
        <f t="shared" ref="DC18" si="337">DB18</f>
        <v>0</v>
      </c>
      <c r="DD18" s="20">
        <f t="shared" ref="DD18" si="338">DC18</f>
        <v>0</v>
      </c>
      <c r="DE18" s="20">
        <f t="shared" ref="DE18" si="339">DD18</f>
        <v>0</v>
      </c>
      <c r="DF18" s="20">
        <f t="shared" ref="DF18" si="340">DE18</f>
        <v>0</v>
      </c>
      <c r="DG18" s="20">
        <f t="shared" ref="DG18" si="341">DF18</f>
        <v>0</v>
      </c>
      <c r="DH18" s="20">
        <f t="shared" ref="DH18" si="342">DG18</f>
        <v>0</v>
      </c>
    </row>
    <row r="19" spans="2:112" x14ac:dyDescent="0.25">
      <c r="B19" s="18" t="s">
        <v>28</v>
      </c>
      <c r="C19" s="29"/>
      <c r="D19" s="19"/>
      <c r="E19" s="21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39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19">
        <v>1000</v>
      </c>
      <c r="AC19" s="30"/>
      <c r="AD19" s="19">
        <v>1000</v>
      </c>
      <c r="AE19" s="19"/>
      <c r="AF19" s="19"/>
      <c r="AG19" s="19"/>
      <c r="AH19" s="19"/>
      <c r="AI19" s="19"/>
      <c r="AJ19" s="19"/>
      <c r="AK19" s="19"/>
      <c r="AL19" s="19"/>
      <c r="AM19" s="19">
        <f>4500</f>
        <v>4500</v>
      </c>
      <c r="AN19" s="19"/>
      <c r="AO19" s="59"/>
      <c r="AP19" s="19"/>
      <c r="AQ19" s="19"/>
      <c r="AR19" s="19"/>
      <c r="AS19" s="19"/>
      <c r="AT19" s="19"/>
      <c r="AU19" s="19"/>
      <c r="AV19" s="19"/>
      <c r="AW19" s="19"/>
      <c r="AX19" s="19"/>
      <c r="AY19" s="20">
        <f>2*1160+3730</f>
        <v>6050</v>
      </c>
      <c r="AZ19" s="19">
        <f>6881</f>
        <v>6881</v>
      </c>
      <c r="BA19" s="5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5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5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58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5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</row>
    <row r="20" spans="2:112" x14ac:dyDescent="0.25">
      <c r="B20" s="18" t="s">
        <v>88</v>
      </c>
      <c r="C20" s="29"/>
      <c r="D20" s="19"/>
      <c r="E20" s="21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39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19"/>
      <c r="AC20" s="30"/>
      <c r="AD20" s="19"/>
      <c r="AE20" s="19"/>
      <c r="AF20" s="19"/>
      <c r="AG20" s="19"/>
      <c r="AI20" s="19"/>
      <c r="AJ20" s="19"/>
      <c r="AK20" s="19">
        <v>3750</v>
      </c>
      <c r="AL20" s="19"/>
      <c r="AM20" s="19"/>
      <c r="AN20" s="19"/>
      <c r="AO20" s="59">
        <v>11677.2</v>
      </c>
      <c r="AP20" s="19">
        <v>1610.1</v>
      </c>
      <c r="AQ20" s="19">
        <v>8747</v>
      </c>
      <c r="AR20" s="71">
        <v>1160.3</v>
      </c>
      <c r="AS20" s="19"/>
      <c r="AT20" s="19">
        <v>2528.8000000000002</v>
      </c>
      <c r="AU20" s="19">
        <v>2900.8</v>
      </c>
      <c r="AV20" s="19"/>
      <c r="AW20" s="19">
        <v>5147.7000000000007</v>
      </c>
      <c r="AX20" s="19">
        <v>3534.6</v>
      </c>
      <c r="AY20" s="20"/>
      <c r="AZ20" s="64">
        <v>7461.4000000000005</v>
      </c>
      <c r="BA20" s="79">
        <v>11850</v>
      </c>
      <c r="BB20" s="80">
        <v>4218</v>
      </c>
      <c r="BC20" s="81">
        <v>15238</v>
      </c>
      <c r="BD20" s="19"/>
      <c r="BE20" s="20"/>
      <c r="BF20" s="20"/>
      <c r="BG20" s="20"/>
      <c r="BH20" s="20"/>
      <c r="BI20" s="20"/>
      <c r="BJ20" s="20"/>
      <c r="BK20" s="20">
        <v>20000</v>
      </c>
      <c r="BL20" s="64"/>
      <c r="BM20" s="72">
        <v>20000</v>
      </c>
      <c r="BN20" s="64"/>
      <c r="BO20" s="71">
        <f>30869</f>
        <v>30869</v>
      </c>
      <c r="BP20" s="19"/>
      <c r="BQ20" s="19"/>
      <c r="BR20" s="71"/>
      <c r="BS20" s="77"/>
      <c r="BT20" s="23">
        <v>20000</v>
      </c>
      <c r="BU20" s="23"/>
      <c r="BV20" s="23"/>
      <c r="BW20" s="23"/>
      <c r="BX20" s="23">
        <v>40000</v>
      </c>
      <c r="BY20" s="58"/>
      <c r="BZ20" s="23"/>
      <c r="CA20" s="23"/>
      <c r="CB20" s="23">
        <v>40000</v>
      </c>
      <c r="CC20" s="23"/>
      <c r="CD20" s="23"/>
      <c r="CE20" s="23">
        <f>40000*0.95</f>
        <v>38000</v>
      </c>
      <c r="CF20" s="71"/>
      <c r="CG20" s="71"/>
      <c r="CH20" s="71">
        <v>60000</v>
      </c>
      <c r="CI20" s="71"/>
      <c r="CJ20" s="71"/>
      <c r="CK20" s="91">
        <f>120000/12</f>
        <v>10000</v>
      </c>
      <c r="CL20" s="77">
        <f t="shared" ref="CL20" si="343">CK20</f>
        <v>10000</v>
      </c>
      <c r="CM20" s="77">
        <f t="shared" ref="CM20" si="344">CL20</f>
        <v>10000</v>
      </c>
      <c r="CN20" s="77">
        <f t="shared" ref="CN20" si="345">CM20</f>
        <v>10000</v>
      </c>
      <c r="CO20" s="77">
        <f t="shared" ref="CO20" si="346">CN20</f>
        <v>10000</v>
      </c>
      <c r="CP20" s="77">
        <f t="shared" ref="CP20" si="347">CO20</f>
        <v>10000</v>
      </c>
      <c r="CQ20" s="77">
        <f t="shared" ref="CQ20" si="348">CP20</f>
        <v>10000</v>
      </c>
      <c r="CR20" s="77">
        <f t="shared" ref="CR20" si="349">CQ20</f>
        <v>10000</v>
      </c>
      <c r="CS20" s="77">
        <f t="shared" ref="CS20" si="350">CR20</f>
        <v>10000</v>
      </c>
      <c r="CT20" s="77">
        <f t="shared" ref="CT20" si="351">CS20</f>
        <v>10000</v>
      </c>
      <c r="CU20" s="77">
        <f t="shared" ref="CU20" si="352">CT20</f>
        <v>10000</v>
      </c>
      <c r="CV20" s="77">
        <f t="shared" ref="CV20" si="353">CU20</f>
        <v>10000</v>
      </c>
      <c r="CW20" s="76">
        <f t="shared" ref="CW20" si="354">CV20</f>
        <v>10000</v>
      </c>
      <c r="CX20" s="77">
        <f t="shared" ref="CX20" si="355">CW20</f>
        <v>10000</v>
      </c>
      <c r="CY20" s="77">
        <f t="shared" ref="CY20" si="356">CX20</f>
        <v>10000</v>
      </c>
      <c r="CZ20" s="77">
        <f t="shared" ref="CZ20" si="357">CY20</f>
        <v>10000</v>
      </c>
      <c r="DA20" s="77">
        <f t="shared" ref="DA20" si="358">CZ20</f>
        <v>10000</v>
      </c>
      <c r="DB20" s="77">
        <f t="shared" ref="DB20" si="359">DA20</f>
        <v>10000</v>
      </c>
      <c r="DC20" s="77">
        <f t="shared" ref="DC20" si="360">DB20</f>
        <v>10000</v>
      </c>
      <c r="DD20" s="77">
        <f t="shared" ref="DD20" si="361">DC20</f>
        <v>10000</v>
      </c>
      <c r="DE20" s="77">
        <f t="shared" ref="DE20" si="362">DD20</f>
        <v>10000</v>
      </c>
      <c r="DF20" s="77">
        <f t="shared" ref="DF20" si="363">DE20</f>
        <v>10000</v>
      </c>
      <c r="DG20" s="77">
        <f t="shared" ref="DG20" si="364">DF20</f>
        <v>10000</v>
      </c>
      <c r="DH20" s="77">
        <f t="shared" ref="DH20" si="365">DG20</f>
        <v>10000</v>
      </c>
    </row>
    <row r="21" spans="2:112" x14ac:dyDescent="0.25">
      <c r="B21" s="18" t="s">
        <v>89</v>
      </c>
      <c r="C21" s="29"/>
      <c r="D21" s="19"/>
      <c r="E21" s="21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39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19"/>
      <c r="AC21" s="30"/>
      <c r="AD21" s="19"/>
      <c r="AE21" s="19"/>
      <c r="AF21" s="19"/>
      <c r="AG21" s="19"/>
      <c r="AI21" s="19"/>
      <c r="AJ21" s="19"/>
      <c r="AK21" s="19"/>
      <c r="AL21" s="19"/>
      <c r="AM21" s="19"/>
      <c r="AN21" s="19"/>
      <c r="AO21" s="59"/>
      <c r="AP21" s="19"/>
      <c r="AQ21" s="19"/>
      <c r="AR21" s="71"/>
      <c r="AS21" s="19"/>
      <c r="AT21" s="19"/>
      <c r="AU21" s="19"/>
      <c r="AV21" s="19"/>
      <c r="AW21" s="19"/>
      <c r="AX21" s="19"/>
      <c r="AY21" s="20"/>
      <c r="AZ21" s="64"/>
      <c r="BA21" s="79"/>
      <c r="BB21" s="80"/>
      <c r="BC21" s="81"/>
      <c r="BD21" s="19"/>
      <c r="BE21" s="20"/>
      <c r="BF21" s="20"/>
      <c r="BG21" s="20"/>
      <c r="BH21" s="20"/>
      <c r="BI21" s="20"/>
      <c r="BJ21" s="20"/>
      <c r="BK21" s="20"/>
      <c r="BL21" s="23"/>
      <c r="BM21" s="58"/>
      <c r="BN21" s="23">
        <v>7000</v>
      </c>
      <c r="BO21" s="71"/>
      <c r="BP21" s="77"/>
      <c r="BQ21" s="77"/>
      <c r="BR21" s="77"/>
      <c r="BS21" s="77"/>
      <c r="BT21" s="71"/>
      <c r="BU21" s="77"/>
      <c r="BV21" s="77"/>
      <c r="BW21" s="77"/>
      <c r="BX21" s="77"/>
      <c r="BY21" s="76"/>
      <c r="BZ21" s="77"/>
      <c r="CA21" s="77"/>
      <c r="CB21" s="77"/>
      <c r="CC21" s="77"/>
      <c r="CD21" s="77"/>
      <c r="CE21" s="77"/>
      <c r="CF21" s="77"/>
      <c r="CG21" s="77"/>
      <c r="CH21" s="77"/>
      <c r="CI21" s="77"/>
      <c r="CJ21" s="77"/>
      <c r="CK21" s="76"/>
      <c r="CL21" s="77"/>
      <c r="CM21" s="77"/>
      <c r="CN21" s="77"/>
      <c r="CO21" s="77"/>
      <c r="CP21" s="77"/>
      <c r="CQ21" s="77"/>
      <c r="CR21" s="77"/>
      <c r="CS21" s="77"/>
      <c r="CT21" s="77"/>
      <c r="CU21" s="77"/>
      <c r="CV21" s="77"/>
      <c r="CW21" s="76"/>
      <c r="CX21" s="77"/>
      <c r="CY21" s="77"/>
      <c r="CZ21" s="77"/>
      <c r="DA21" s="77"/>
      <c r="DB21" s="77"/>
      <c r="DC21" s="77"/>
      <c r="DD21" s="77"/>
      <c r="DE21" s="77"/>
      <c r="DF21" s="77"/>
      <c r="DG21" s="77"/>
      <c r="DH21" s="77"/>
    </row>
    <row r="22" spans="2:112" x14ac:dyDescent="0.25">
      <c r="B22" s="22" t="s">
        <v>29</v>
      </c>
      <c r="C22" s="31"/>
      <c r="D22" s="23"/>
      <c r="E22" s="25"/>
      <c r="F22" s="23">
        <v>15000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3">
        <v>15000</v>
      </c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34"/>
      <c r="AD22" s="23"/>
      <c r="AE22" s="19">
        <v>4000</v>
      </c>
      <c r="AF22" s="23"/>
      <c r="AG22" s="23"/>
      <c r="AH22" s="23"/>
      <c r="AI22" s="23"/>
      <c r="AJ22" s="23"/>
      <c r="AK22" s="23"/>
      <c r="AL22" s="23"/>
      <c r="AM22" s="23"/>
      <c r="AN22" s="23"/>
      <c r="AO22" s="58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58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58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58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58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58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</row>
    <row r="23" spans="2:112" x14ac:dyDescent="0.25">
      <c r="B23" s="22" t="s">
        <v>25</v>
      </c>
      <c r="C23" s="31"/>
      <c r="D23" s="23"/>
      <c r="E23" s="25"/>
      <c r="F23" s="23"/>
      <c r="G23" s="24"/>
      <c r="H23" s="24"/>
      <c r="I23" s="24"/>
      <c r="J23" s="24"/>
      <c r="K23" s="24"/>
      <c r="L23" s="20"/>
      <c r="M23" s="24"/>
      <c r="N23" s="24"/>
      <c r="O23" s="24"/>
      <c r="P23" s="24"/>
      <c r="Q23" s="25"/>
      <c r="R23" s="23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34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58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58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58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58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58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58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</row>
    <row r="24" spans="2:112" x14ac:dyDescent="0.25">
      <c r="B24" s="22" t="s">
        <v>87</v>
      </c>
      <c r="C24" s="31"/>
      <c r="D24" s="23"/>
      <c r="E24" s="25"/>
      <c r="F24" s="23"/>
      <c r="G24" s="24"/>
      <c r="H24" s="24"/>
      <c r="I24" s="24"/>
      <c r="J24" s="24"/>
      <c r="K24" s="24"/>
      <c r="L24" s="20"/>
      <c r="M24" s="24"/>
      <c r="N24" s="24"/>
      <c r="O24" s="24"/>
      <c r="P24" s="24"/>
      <c r="Q24" s="25"/>
      <c r="R24" s="23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34">
        <v>10000</v>
      </c>
      <c r="AD24" s="23">
        <v>20000</v>
      </c>
      <c r="AE24" s="23">
        <v>20000</v>
      </c>
      <c r="AF24" s="23">
        <v>20000</v>
      </c>
      <c r="AG24" s="23">
        <v>10000</v>
      </c>
      <c r="AH24" s="23">
        <v>10000</v>
      </c>
      <c r="AI24" s="23">
        <v>10000</v>
      </c>
      <c r="AJ24" s="23">
        <v>8000</v>
      </c>
      <c r="AK24" s="23">
        <v>8000</v>
      </c>
      <c r="AL24" s="23">
        <v>8000</v>
      </c>
      <c r="AM24" s="23">
        <v>9000</v>
      </c>
      <c r="AN24" s="23">
        <v>5000</v>
      </c>
      <c r="AO24" s="58">
        <v>5000</v>
      </c>
      <c r="AP24" s="23">
        <v>5000</v>
      </c>
      <c r="AQ24" s="23">
        <v>5000</v>
      </c>
      <c r="AR24" s="23">
        <v>5000</v>
      </c>
      <c r="AS24" s="23">
        <v>5000</v>
      </c>
      <c r="AT24" s="23"/>
      <c r="AU24" s="23"/>
      <c r="AV24" s="23"/>
      <c r="AW24" s="23"/>
      <c r="AX24" s="23"/>
      <c r="AY24" s="23"/>
      <c r="AZ24" s="23"/>
      <c r="BA24" s="58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>
        <v>1000</v>
      </c>
      <c r="BM24" s="58"/>
      <c r="BN24" s="23"/>
      <c r="BO24" s="23">
        <f>2560+1390+595</f>
        <v>4545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58"/>
      <c r="BZ24" s="23"/>
      <c r="CA24" s="23"/>
      <c r="CB24" s="23"/>
      <c r="CC24" s="23"/>
      <c r="CD24" s="23"/>
      <c r="CE24" s="23"/>
      <c r="CF24" s="23">
        <v>7000</v>
      </c>
      <c r="CG24" s="23"/>
      <c r="CH24" s="23"/>
      <c r="CI24" s="23"/>
      <c r="CJ24" s="23"/>
      <c r="CK24" s="58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58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</row>
    <row r="25" spans="2:112" x14ac:dyDescent="0.25">
      <c r="B25" s="22" t="s">
        <v>7</v>
      </c>
      <c r="C25" s="31"/>
      <c r="D25" s="23"/>
      <c r="E25" s="25"/>
      <c r="F25" s="23"/>
      <c r="G25" s="23"/>
      <c r="H25" s="23"/>
      <c r="I25" s="23"/>
      <c r="J25" s="24"/>
      <c r="K25" s="23"/>
      <c r="L25" s="33">
        <v>7500</v>
      </c>
      <c r="M25" s="24"/>
      <c r="N25" s="24"/>
      <c r="O25" s="24"/>
      <c r="P25" s="24"/>
      <c r="Q25" s="25"/>
      <c r="R25" s="24"/>
      <c r="S25" s="23"/>
      <c r="T25" s="23"/>
      <c r="U25" s="32">
        <f>T6</f>
        <v>7500</v>
      </c>
      <c r="V25" s="24"/>
      <c r="W25" s="24"/>
      <c r="X25" s="24"/>
      <c r="Y25" s="24"/>
      <c r="Z25" s="24"/>
      <c r="AA25" s="24"/>
      <c r="AB25" s="24"/>
      <c r="AC25" s="34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58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58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58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58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58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58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</row>
    <row r="26" spans="2:112" x14ac:dyDescent="0.25">
      <c r="B26" s="84" t="s">
        <v>65</v>
      </c>
      <c r="C26" s="31"/>
      <c r="D26" s="23"/>
      <c r="E26" s="25"/>
      <c r="F26" s="24"/>
      <c r="G26" s="24"/>
      <c r="H26" s="24"/>
      <c r="I26" s="40"/>
      <c r="J26" s="40"/>
      <c r="K26" s="40"/>
      <c r="L26" s="43"/>
      <c r="M26" s="40"/>
      <c r="N26" s="40"/>
      <c r="O26" s="40"/>
      <c r="P26" s="40"/>
      <c r="Q26" s="41"/>
      <c r="R26" s="40"/>
      <c r="S26" s="40"/>
      <c r="T26" s="40"/>
      <c r="U26" s="40"/>
      <c r="V26" s="40"/>
      <c r="W26" s="40"/>
      <c r="X26" s="40"/>
      <c r="Y26" s="40"/>
      <c r="Z26" s="51">
        <v>-300</v>
      </c>
      <c r="AA26" s="40">
        <f t="shared" ref="AA26" si="366">Z26</f>
        <v>-300</v>
      </c>
      <c r="AB26" s="40">
        <f t="shared" ref="AB26" si="367">AA26</f>
        <v>-300</v>
      </c>
      <c r="AC26" s="41">
        <f t="shared" ref="AC26" si="368">AB26</f>
        <v>-300</v>
      </c>
      <c r="AD26" s="40">
        <f t="shared" ref="AD26" si="369">AC26</f>
        <v>-300</v>
      </c>
      <c r="AE26" s="23">
        <f>AD26-1000</f>
        <v>-1300</v>
      </c>
      <c r="AF26" s="40">
        <f t="shared" ref="AF26" si="370">AE26</f>
        <v>-1300</v>
      </c>
      <c r="AG26" s="40">
        <f t="shared" ref="AG26" si="371">AF26</f>
        <v>-1300</v>
      </c>
      <c r="AH26" s="40">
        <f>AG26-30*8*4.2</f>
        <v>-2308</v>
      </c>
      <c r="AI26" s="40">
        <f t="shared" ref="AI26" si="372">AH26</f>
        <v>-2308</v>
      </c>
      <c r="AJ26" s="40">
        <f t="shared" ref="AJ26" si="373">AI26</f>
        <v>-2308</v>
      </c>
      <c r="AK26" s="50">
        <f>AJ26-250*4.2-30*8*4.2-1000</f>
        <v>-5366</v>
      </c>
      <c r="AL26" s="40">
        <f t="shared" ref="AL26" si="374">AK26</f>
        <v>-5366</v>
      </c>
      <c r="AM26" s="40">
        <f t="shared" ref="AM26" si="375">AL26</f>
        <v>-5366</v>
      </c>
      <c r="AN26" s="40">
        <f t="shared" ref="AN26" si="376">AM26</f>
        <v>-5366</v>
      </c>
      <c r="AO26" s="61">
        <f t="shared" ref="AO26:AO51" si="377">AN26</f>
        <v>-5366</v>
      </c>
      <c r="AP26" s="40">
        <f t="shared" ref="AP26:AP51" si="378">AO26</f>
        <v>-5366</v>
      </c>
      <c r="AQ26" s="40">
        <f t="shared" ref="AQ26:AQ51" si="379">AP26</f>
        <v>-5366</v>
      </c>
      <c r="AR26" s="40">
        <f t="shared" ref="AR26:AR51" si="380">AQ26</f>
        <v>-5366</v>
      </c>
      <c r="AS26" s="40">
        <f t="shared" ref="AS26:AS51" si="381">AR26</f>
        <v>-5366</v>
      </c>
      <c r="AT26" s="40">
        <f t="shared" ref="AT26:AT51" si="382">AS26</f>
        <v>-5366</v>
      </c>
      <c r="AU26" s="40">
        <f t="shared" ref="AU26:AU51" si="383">AT26</f>
        <v>-5366</v>
      </c>
      <c r="AV26" s="40">
        <f t="shared" ref="AV26:AV51" si="384">AU26</f>
        <v>-5366</v>
      </c>
      <c r="AW26" s="40">
        <f t="shared" ref="AW26:AW51" si="385">AV26</f>
        <v>-5366</v>
      </c>
      <c r="AX26" s="40">
        <f t="shared" ref="AX26:AX51" si="386">AW26</f>
        <v>-5366</v>
      </c>
      <c r="AY26" s="40">
        <f t="shared" ref="AY26:AY51" si="387">AX26</f>
        <v>-5366</v>
      </c>
      <c r="AZ26" s="40">
        <f t="shared" ref="AZ26:BA26" si="388">AY26</f>
        <v>-5366</v>
      </c>
      <c r="BA26" s="61">
        <f t="shared" si="388"/>
        <v>-5366</v>
      </c>
      <c r="BB26" s="40">
        <f t="shared" ref="BB26:BB51" si="389">BA26</f>
        <v>-5366</v>
      </c>
      <c r="BC26" s="40">
        <f t="shared" ref="BC26:BC51" si="390">BB26</f>
        <v>-5366</v>
      </c>
      <c r="BD26" s="82">
        <f>-2040-4.2*8*30-500-500</f>
        <v>-4048</v>
      </c>
      <c r="BE26" s="40">
        <f t="shared" ref="BE26:BE51" si="391">BD26</f>
        <v>-4048</v>
      </c>
      <c r="BF26" s="40">
        <f t="shared" ref="BF26:BF51" si="392">BE26</f>
        <v>-4048</v>
      </c>
      <c r="BG26" s="40">
        <f t="shared" ref="BG26:BG51" si="393">BF26</f>
        <v>-4048</v>
      </c>
      <c r="BH26" s="40">
        <f t="shared" ref="BH26:BH51" si="394">BG26</f>
        <v>-4048</v>
      </c>
      <c r="BI26" s="40">
        <f t="shared" ref="BI26:BI51" si="395">BH26</f>
        <v>-4048</v>
      </c>
      <c r="BJ26" s="40">
        <f t="shared" ref="BJ26:BJ51" si="396">BI26</f>
        <v>-4048</v>
      </c>
      <c r="BK26" s="40">
        <f t="shared" ref="BK26:BK51" si="397">BJ26</f>
        <v>-4048</v>
      </c>
      <c r="BL26" s="40">
        <f t="shared" ref="BL26:BM51" si="398">BK26</f>
        <v>-4048</v>
      </c>
      <c r="BM26" s="86">
        <v>-3525</v>
      </c>
      <c r="BN26" s="87">
        <v>-1394.75</v>
      </c>
      <c r="BO26" s="23">
        <v>-4048</v>
      </c>
      <c r="BP26" s="23">
        <f>-2040-500-500</f>
        <v>-3040</v>
      </c>
      <c r="BQ26" s="40">
        <f t="shared" ref="BQ26" si="399">BP26</f>
        <v>-3040</v>
      </c>
      <c r="BR26" s="40">
        <f t="shared" ref="BR26" si="400">BQ26</f>
        <v>-3040</v>
      </c>
      <c r="BS26" s="40">
        <f t="shared" ref="BS26" si="401">BR26</f>
        <v>-3040</v>
      </c>
      <c r="BT26" s="82">
        <f>-2040/4*5-500-500</f>
        <v>-3550</v>
      </c>
      <c r="BU26" s="40">
        <f t="shared" ref="BU26" si="402">BT26</f>
        <v>-3550</v>
      </c>
      <c r="BV26" s="40">
        <f t="shared" ref="BV26" si="403">BU26</f>
        <v>-3550</v>
      </c>
      <c r="BW26" s="40">
        <f t="shared" ref="BW26" si="404">BV26</f>
        <v>-3550</v>
      </c>
      <c r="BX26" s="40">
        <f t="shared" ref="BX26:BY51" si="405">BW26</f>
        <v>-3550</v>
      </c>
      <c r="BY26" s="58">
        <f>-2900</f>
        <v>-2900</v>
      </c>
      <c r="BZ26" s="40">
        <f t="shared" ref="BZ26:BZ51" si="406">BY26</f>
        <v>-2900</v>
      </c>
      <c r="CA26" s="40">
        <f t="shared" ref="CA26:CA51" si="407">BZ26</f>
        <v>-2900</v>
      </c>
      <c r="CB26" s="40">
        <f t="shared" ref="CB26:CB51" si="408">CA26</f>
        <v>-2900</v>
      </c>
      <c r="CC26" s="40">
        <f t="shared" ref="CC26:CC51" si="409">CB26</f>
        <v>-2900</v>
      </c>
      <c r="CD26" s="40">
        <f t="shared" ref="CD26:CD51" si="410">CC26</f>
        <v>-2900</v>
      </c>
      <c r="CE26" s="40">
        <f t="shared" ref="CE26:CE51" si="411">CD26</f>
        <v>-2900</v>
      </c>
      <c r="CF26" s="40">
        <f t="shared" ref="CF26:CF51" si="412">CE26</f>
        <v>-2900</v>
      </c>
      <c r="CG26" s="23">
        <f>-760-4.2*2*4*40</f>
        <v>-2104</v>
      </c>
      <c r="CH26" s="40">
        <f t="shared" ref="CH26:CH51" si="413">CG26</f>
        <v>-2104</v>
      </c>
      <c r="CI26" s="40">
        <f t="shared" ref="CI26:CI51" si="414">CH26</f>
        <v>-2104</v>
      </c>
      <c r="CJ26" s="40">
        <f t="shared" ref="CJ26:CK51" si="415">CI26</f>
        <v>-2104</v>
      </c>
      <c r="CK26" s="61">
        <f t="shared" si="415"/>
        <v>-2104</v>
      </c>
      <c r="CL26" s="40">
        <f t="shared" ref="CL26" si="416">CK26</f>
        <v>-2104</v>
      </c>
      <c r="CM26" s="40">
        <f t="shared" ref="CM26" si="417">CL26</f>
        <v>-2104</v>
      </c>
      <c r="CN26" s="40">
        <f t="shared" ref="CN26" si="418">CM26</f>
        <v>-2104</v>
      </c>
      <c r="CO26" s="40">
        <f t="shared" ref="CO26" si="419">CN26</f>
        <v>-2104</v>
      </c>
      <c r="CP26" s="40">
        <f t="shared" ref="CP26" si="420">CO26</f>
        <v>-2104</v>
      </c>
      <c r="CQ26" s="40">
        <f t="shared" ref="CQ26" si="421">CP26</f>
        <v>-2104</v>
      </c>
      <c r="CR26" s="40">
        <f t="shared" ref="CR26" si="422">CQ26</f>
        <v>-2104</v>
      </c>
      <c r="CS26" s="40">
        <f t="shared" ref="CS26" si="423">CR26</f>
        <v>-2104</v>
      </c>
      <c r="CT26" s="40">
        <f t="shared" ref="CT26" si="424">CS26</f>
        <v>-2104</v>
      </c>
      <c r="CU26" s="40">
        <f t="shared" ref="CU26" si="425">CT26</f>
        <v>-2104</v>
      </c>
      <c r="CV26" s="40">
        <f t="shared" ref="CV26" si="426">CU26</f>
        <v>-2104</v>
      </c>
      <c r="CW26" s="61">
        <f t="shared" ref="CW26:CW27" si="427">CV26</f>
        <v>-2104</v>
      </c>
      <c r="CX26" s="40">
        <f t="shared" ref="CX26:CX27" si="428">CW26</f>
        <v>-2104</v>
      </c>
      <c r="CY26" s="40">
        <f t="shared" ref="CY26:CY27" si="429">CX26</f>
        <v>-2104</v>
      </c>
      <c r="CZ26" s="40">
        <f t="shared" ref="CZ26:CZ27" si="430">CY26</f>
        <v>-2104</v>
      </c>
      <c r="DA26" s="40">
        <f t="shared" ref="DA26:DA27" si="431">CZ26</f>
        <v>-2104</v>
      </c>
      <c r="DB26" s="40">
        <f t="shared" ref="DB26:DB27" si="432">DA26</f>
        <v>-2104</v>
      </c>
      <c r="DC26" s="40">
        <f t="shared" ref="DC26:DC27" si="433">DB26</f>
        <v>-2104</v>
      </c>
      <c r="DD26" s="40">
        <f t="shared" ref="DD26:DD27" si="434">DC26</f>
        <v>-2104</v>
      </c>
      <c r="DE26" s="40">
        <f t="shared" ref="DE26:DE27" si="435">DD26</f>
        <v>-2104</v>
      </c>
      <c r="DF26" s="40">
        <f t="shared" ref="DF26:DF27" si="436">DE26</f>
        <v>-2104</v>
      </c>
      <c r="DG26" s="40">
        <f t="shared" ref="DG26:DG27" si="437">DF26</f>
        <v>-2104</v>
      </c>
      <c r="DH26" s="40">
        <f t="shared" ref="DH26:DH27" si="438">DG26</f>
        <v>-2104</v>
      </c>
    </row>
    <row r="27" spans="2:112" x14ac:dyDescent="0.25">
      <c r="B27" s="85" t="s">
        <v>66</v>
      </c>
      <c r="C27" s="35"/>
      <c r="D27" s="36">
        <v>-2800</v>
      </c>
      <c r="E27" s="37">
        <f t="shared" ref="E27" si="439">D27</f>
        <v>-2800</v>
      </c>
      <c r="F27" s="38">
        <f t="shared" ref="F27" si="440">D27</f>
        <v>-2800</v>
      </c>
      <c r="G27" s="38">
        <f>E27</f>
        <v>-2800</v>
      </c>
      <c r="H27" s="38">
        <f t="shared" ref="H27:P27" si="441">F27</f>
        <v>-2800</v>
      </c>
      <c r="I27" s="38">
        <f t="shared" si="441"/>
        <v>-2800</v>
      </c>
      <c r="J27" s="38">
        <f t="shared" si="441"/>
        <v>-2800</v>
      </c>
      <c r="K27" s="38">
        <f t="shared" si="441"/>
        <v>-2800</v>
      </c>
      <c r="L27" s="42">
        <v>-2800</v>
      </c>
      <c r="M27" s="38">
        <f t="shared" si="441"/>
        <v>-2800</v>
      </c>
      <c r="N27" s="38">
        <f t="shared" si="441"/>
        <v>-2800</v>
      </c>
      <c r="O27" s="38">
        <f t="shared" si="441"/>
        <v>-2800</v>
      </c>
      <c r="P27" s="38">
        <f t="shared" si="441"/>
        <v>-2800</v>
      </c>
      <c r="Q27" s="41">
        <f t="shared" ref="Q27" si="442">P27</f>
        <v>-2800</v>
      </c>
      <c r="R27" s="38">
        <f t="shared" ref="R27:W27" si="443">Q27</f>
        <v>-2800</v>
      </c>
      <c r="S27" s="38">
        <f t="shared" si="443"/>
        <v>-2800</v>
      </c>
      <c r="T27" s="38">
        <f t="shared" si="443"/>
        <v>-2800</v>
      </c>
      <c r="U27" s="38">
        <f t="shared" si="443"/>
        <v>-2800</v>
      </c>
      <c r="V27" s="38">
        <f t="shared" si="443"/>
        <v>-2800</v>
      </c>
      <c r="W27" s="38">
        <f t="shared" si="443"/>
        <v>-2800</v>
      </c>
      <c r="X27" s="38">
        <f t="shared" ref="X27:Z27" si="444">W27</f>
        <v>-2800</v>
      </c>
      <c r="Y27" s="38">
        <f t="shared" si="444"/>
        <v>-2800</v>
      </c>
      <c r="Z27" s="49">
        <f t="shared" si="444"/>
        <v>-2800</v>
      </c>
      <c r="AA27" s="38">
        <f t="shared" ref="AA27:BL27" si="445">Z27</f>
        <v>-2800</v>
      </c>
      <c r="AB27" s="38">
        <f t="shared" si="445"/>
        <v>-2800</v>
      </c>
      <c r="AC27" s="37">
        <f t="shared" si="445"/>
        <v>-2800</v>
      </c>
      <c r="AD27" s="38">
        <f t="shared" si="445"/>
        <v>-2800</v>
      </c>
      <c r="AE27" s="38">
        <f t="shared" si="445"/>
        <v>-2800</v>
      </c>
      <c r="AF27" s="38">
        <f t="shared" si="445"/>
        <v>-2800</v>
      </c>
      <c r="AG27" s="38">
        <f t="shared" si="445"/>
        <v>-2800</v>
      </c>
      <c r="AH27" s="38">
        <f t="shared" si="445"/>
        <v>-2800</v>
      </c>
      <c r="AI27" s="38">
        <f t="shared" si="445"/>
        <v>-2800</v>
      </c>
      <c r="AJ27" s="38">
        <f t="shared" si="445"/>
        <v>-2800</v>
      </c>
      <c r="AK27" s="38">
        <f t="shared" si="445"/>
        <v>-2800</v>
      </c>
      <c r="AL27" s="38">
        <f t="shared" si="445"/>
        <v>-2800</v>
      </c>
      <c r="AM27" s="38">
        <f t="shared" si="445"/>
        <v>-2800</v>
      </c>
      <c r="AN27" s="38">
        <f t="shared" si="445"/>
        <v>-2800</v>
      </c>
      <c r="AO27" s="60">
        <f t="shared" si="445"/>
        <v>-2800</v>
      </c>
      <c r="AP27" s="38">
        <f t="shared" si="445"/>
        <v>-2800</v>
      </c>
      <c r="AQ27" s="38">
        <f t="shared" si="445"/>
        <v>-2800</v>
      </c>
      <c r="AR27" s="38">
        <f t="shared" si="445"/>
        <v>-2800</v>
      </c>
      <c r="AS27" s="38">
        <f t="shared" si="445"/>
        <v>-2800</v>
      </c>
      <c r="AT27" s="38">
        <f t="shared" si="445"/>
        <v>-2800</v>
      </c>
      <c r="AU27" s="38">
        <f t="shared" si="445"/>
        <v>-2800</v>
      </c>
      <c r="AV27" s="38">
        <f t="shared" si="445"/>
        <v>-2800</v>
      </c>
      <c r="AW27" s="38">
        <f t="shared" si="445"/>
        <v>-2800</v>
      </c>
      <c r="AX27" s="38">
        <f t="shared" si="445"/>
        <v>-2800</v>
      </c>
      <c r="AY27" s="38">
        <f t="shared" si="445"/>
        <v>-2800</v>
      </c>
      <c r="AZ27" s="38">
        <f t="shared" si="445"/>
        <v>-2800</v>
      </c>
      <c r="BA27" s="78">
        <f t="shared" si="445"/>
        <v>-2800</v>
      </c>
      <c r="BB27" s="38">
        <f t="shared" si="445"/>
        <v>-2800</v>
      </c>
      <c r="BC27" s="38">
        <f t="shared" si="445"/>
        <v>-2800</v>
      </c>
      <c r="BD27" s="38">
        <f t="shared" si="445"/>
        <v>-2800</v>
      </c>
      <c r="BE27" s="38">
        <f t="shared" si="445"/>
        <v>-2800</v>
      </c>
      <c r="BF27" s="38">
        <f t="shared" si="445"/>
        <v>-2800</v>
      </c>
      <c r="BG27" s="38">
        <f t="shared" si="445"/>
        <v>-2800</v>
      </c>
      <c r="BH27" s="38">
        <f t="shared" si="445"/>
        <v>-2800</v>
      </c>
      <c r="BI27" s="38">
        <f t="shared" si="445"/>
        <v>-2800</v>
      </c>
      <c r="BJ27" s="38">
        <f t="shared" si="445"/>
        <v>-2800</v>
      </c>
      <c r="BK27" s="38">
        <f t="shared" si="445"/>
        <v>-2800</v>
      </c>
      <c r="BL27" s="38">
        <f t="shared" si="445"/>
        <v>-2800</v>
      </c>
      <c r="BM27" s="88">
        <v>-2799</v>
      </c>
      <c r="BN27" s="89">
        <v>-2799</v>
      </c>
      <c r="BO27" s="36">
        <v>-2800</v>
      </c>
      <c r="BP27" s="38">
        <f t="shared" ref="BP27:CJ27" si="446">BO27</f>
        <v>-2800</v>
      </c>
      <c r="BQ27" s="38">
        <f t="shared" si="446"/>
        <v>-2800</v>
      </c>
      <c r="BR27" s="38">
        <f t="shared" si="446"/>
        <v>-2800</v>
      </c>
      <c r="BS27" s="38">
        <f t="shared" si="446"/>
        <v>-2800</v>
      </c>
      <c r="BT27" s="38">
        <f t="shared" si="446"/>
        <v>-2800</v>
      </c>
      <c r="BU27" s="38">
        <f t="shared" si="446"/>
        <v>-2800</v>
      </c>
      <c r="BV27" s="38">
        <f t="shared" si="446"/>
        <v>-2800</v>
      </c>
      <c r="BW27" s="38">
        <f t="shared" si="446"/>
        <v>-2800</v>
      </c>
      <c r="BX27" s="38">
        <f t="shared" si="446"/>
        <v>-2800</v>
      </c>
      <c r="BY27" s="60">
        <f t="shared" si="446"/>
        <v>-2800</v>
      </c>
      <c r="BZ27" s="38">
        <f t="shared" si="446"/>
        <v>-2800</v>
      </c>
      <c r="CA27" s="38">
        <f t="shared" si="446"/>
        <v>-2800</v>
      </c>
      <c r="CB27" s="38">
        <f t="shared" si="446"/>
        <v>-2800</v>
      </c>
      <c r="CC27" s="38">
        <f t="shared" si="446"/>
        <v>-2800</v>
      </c>
      <c r="CD27" s="38">
        <f t="shared" si="446"/>
        <v>-2800</v>
      </c>
      <c r="CE27" s="38">
        <f t="shared" si="446"/>
        <v>-2800</v>
      </c>
      <c r="CF27" s="38">
        <f t="shared" si="446"/>
        <v>-2800</v>
      </c>
      <c r="CG27" s="38">
        <f t="shared" si="446"/>
        <v>-2800</v>
      </c>
      <c r="CH27" s="38">
        <f t="shared" si="446"/>
        <v>-2800</v>
      </c>
      <c r="CI27" s="38">
        <f t="shared" si="446"/>
        <v>-2800</v>
      </c>
      <c r="CJ27" s="38">
        <f t="shared" si="446"/>
        <v>-2800</v>
      </c>
      <c r="CK27" s="60">
        <f t="shared" ref="CK27" si="447">CJ27</f>
        <v>-2800</v>
      </c>
      <c r="CL27" s="38">
        <f t="shared" ref="CL27:CV27" si="448">CK27</f>
        <v>-2800</v>
      </c>
      <c r="CM27" s="38">
        <f t="shared" si="448"/>
        <v>-2800</v>
      </c>
      <c r="CN27" s="38">
        <f t="shared" si="448"/>
        <v>-2800</v>
      </c>
      <c r="CO27" s="38">
        <f t="shared" si="448"/>
        <v>-2800</v>
      </c>
      <c r="CP27" s="38">
        <f t="shared" si="448"/>
        <v>-2800</v>
      </c>
      <c r="CQ27" s="38">
        <f t="shared" si="448"/>
        <v>-2800</v>
      </c>
      <c r="CR27" s="38">
        <f t="shared" si="448"/>
        <v>-2800</v>
      </c>
      <c r="CS27" s="38">
        <f t="shared" si="448"/>
        <v>-2800</v>
      </c>
      <c r="CT27" s="38">
        <f t="shared" si="448"/>
        <v>-2800</v>
      </c>
      <c r="CU27" s="38">
        <f t="shared" si="448"/>
        <v>-2800</v>
      </c>
      <c r="CV27" s="38">
        <f t="shared" si="448"/>
        <v>-2800</v>
      </c>
      <c r="CW27" s="60">
        <f t="shared" si="427"/>
        <v>-2800</v>
      </c>
      <c r="CX27" s="38">
        <f t="shared" si="428"/>
        <v>-2800</v>
      </c>
      <c r="CY27" s="38">
        <f t="shared" si="429"/>
        <v>-2800</v>
      </c>
      <c r="CZ27" s="38">
        <f t="shared" si="430"/>
        <v>-2800</v>
      </c>
      <c r="DA27" s="38">
        <f t="shared" si="431"/>
        <v>-2800</v>
      </c>
      <c r="DB27" s="38">
        <f t="shared" si="432"/>
        <v>-2800</v>
      </c>
      <c r="DC27" s="38">
        <f t="shared" si="433"/>
        <v>-2800</v>
      </c>
      <c r="DD27" s="38">
        <f t="shared" si="434"/>
        <v>-2800</v>
      </c>
      <c r="DE27" s="38">
        <f t="shared" si="435"/>
        <v>-2800</v>
      </c>
      <c r="DF27" s="38">
        <f t="shared" si="436"/>
        <v>-2800</v>
      </c>
      <c r="DG27" s="38">
        <f t="shared" si="437"/>
        <v>-2800</v>
      </c>
      <c r="DH27" s="38">
        <f t="shared" si="438"/>
        <v>-2800</v>
      </c>
    </row>
    <row r="28" spans="2:112" x14ac:dyDescent="0.25">
      <c r="B28" s="84" t="s">
        <v>67</v>
      </c>
      <c r="C28" s="31"/>
      <c r="D28" s="23"/>
      <c r="E28" s="25"/>
      <c r="F28" s="24"/>
      <c r="G28" s="24"/>
      <c r="H28" s="24"/>
      <c r="I28" s="40"/>
      <c r="J28" s="40"/>
      <c r="K28" s="40"/>
      <c r="L28" s="43"/>
      <c r="M28" s="40"/>
      <c r="N28" s="40"/>
      <c r="O28" s="40"/>
      <c r="P28" s="40"/>
      <c r="Q28" s="41"/>
      <c r="R28" s="40"/>
      <c r="S28" s="40"/>
      <c r="T28" s="40"/>
      <c r="U28" s="40"/>
      <c r="V28" s="40"/>
      <c r="W28" s="40"/>
      <c r="X28" s="40"/>
      <c r="Y28" s="40"/>
      <c r="Z28" s="51"/>
      <c r="AA28" s="40"/>
      <c r="AB28" s="40"/>
      <c r="AC28" s="41"/>
      <c r="AD28" s="40"/>
      <c r="AE28" s="23"/>
      <c r="AF28" s="40"/>
      <c r="AG28" s="40"/>
      <c r="AH28" s="40"/>
      <c r="AI28" s="40"/>
      <c r="AJ28" s="40"/>
      <c r="AK28" s="50"/>
      <c r="AL28" s="40"/>
      <c r="AM28" s="40"/>
      <c r="AN28" s="40"/>
      <c r="AO28" s="61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61"/>
      <c r="BB28" s="40"/>
      <c r="BC28" s="40"/>
      <c r="BD28" s="82"/>
      <c r="BE28" s="40"/>
      <c r="BF28" s="40"/>
      <c r="BG28" s="40"/>
      <c r="BH28" s="40"/>
      <c r="BI28" s="40"/>
      <c r="BJ28" s="40"/>
      <c r="BK28" s="40"/>
      <c r="BL28" s="40"/>
      <c r="BM28" s="86">
        <v>-1240.08</v>
      </c>
      <c r="BN28" s="87">
        <v>-873.90000000000009</v>
      </c>
      <c r="BO28" s="23"/>
      <c r="BP28" s="82"/>
      <c r="BQ28" s="40"/>
      <c r="BR28" s="40"/>
      <c r="BS28" s="40"/>
      <c r="BT28" s="82"/>
      <c r="BU28" s="40"/>
      <c r="BV28" s="40"/>
      <c r="BW28" s="40"/>
      <c r="BX28" s="40"/>
      <c r="BY28" s="58"/>
      <c r="BZ28" s="40"/>
      <c r="CA28" s="40"/>
      <c r="CB28" s="40"/>
      <c r="CC28" s="40"/>
      <c r="CD28" s="40"/>
      <c r="CE28" s="40"/>
      <c r="CF28" s="40"/>
      <c r="CG28" s="40"/>
      <c r="CH28" s="23">
        <v>-500</v>
      </c>
      <c r="CI28" s="40">
        <f t="shared" ref="CI28:DH28" si="449">CH28</f>
        <v>-500</v>
      </c>
      <c r="CJ28" s="40">
        <f t="shared" si="449"/>
        <v>-500</v>
      </c>
      <c r="CK28" s="61">
        <f t="shared" si="449"/>
        <v>-500</v>
      </c>
      <c r="CL28" s="40">
        <f t="shared" si="449"/>
        <v>-500</v>
      </c>
      <c r="CM28" s="40">
        <f t="shared" si="449"/>
        <v>-500</v>
      </c>
      <c r="CN28" s="40">
        <f t="shared" si="449"/>
        <v>-500</v>
      </c>
      <c r="CO28" s="40">
        <f t="shared" si="449"/>
        <v>-500</v>
      </c>
      <c r="CP28" s="40">
        <f t="shared" si="449"/>
        <v>-500</v>
      </c>
      <c r="CQ28" s="40">
        <f t="shared" si="449"/>
        <v>-500</v>
      </c>
      <c r="CR28" s="40">
        <f t="shared" si="449"/>
        <v>-500</v>
      </c>
      <c r="CS28" s="40">
        <f t="shared" si="449"/>
        <v>-500</v>
      </c>
      <c r="CT28" s="40">
        <f t="shared" si="449"/>
        <v>-500</v>
      </c>
      <c r="CU28" s="40">
        <f t="shared" si="449"/>
        <v>-500</v>
      </c>
      <c r="CV28" s="40">
        <f t="shared" si="449"/>
        <v>-500</v>
      </c>
      <c r="CW28" s="61">
        <f t="shared" si="449"/>
        <v>-500</v>
      </c>
      <c r="CX28" s="40">
        <f t="shared" si="449"/>
        <v>-500</v>
      </c>
      <c r="CY28" s="40">
        <f t="shared" si="449"/>
        <v>-500</v>
      </c>
      <c r="CZ28" s="40">
        <f t="shared" si="449"/>
        <v>-500</v>
      </c>
      <c r="DA28" s="40">
        <f t="shared" si="449"/>
        <v>-500</v>
      </c>
      <c r="DB28" s="40">
        <f t="shared" si="449"/>
        <v>-500</v>
      </c>
      <c r="DC28" s="40">
        <f t="shared" si="449"/>
        <v>-500</v>
      </c>
      <c r="DD28" s="40">
        <f t="shared" si="449"/>
        <v>-500</v>
      </c>
      <c r="DE28" s="40">
        <f t="shared" si="449"/>
        <v>-500</v>
      </c>
      <c r="DF28" s="40">
        <f t="shared" si="449"/>
        <v>-500</v>
      </c>
      <c r="DG28" s="40">
        <f t="shared" si="449"/>
        <v>-500</v>
      </c>
      <c r="DH28" s="40">
        <f t="shared" si="449"/>
        <v>-500</v>
      </c>
    </row>
    <row r="29" spans="2:112" x14ac:dyDescent="0.25">
      <c r="B29" s="84" t="s">
        <v>68</v>
      </c>
      <c r="C29" s="31"/>
      <c r="D29" s="23"/>
      <c r="E29" s="25"/>
      <c r="F29" s="24"/>
      <c r="G29" s="24"/>
      <c r="H29" s="24"/>
      <c r="I29" s="40"/>
      <c r="J29" s="40"/>
      <c r="K29" s="40"/>
      <c r="L29" s="43"/>
      <c r="M29" s="40"/>
      <c r="N29" s="40"/>
      <c r="O29" s="40"/>
      <c r="P29" s="40"/>
      <c r="Q29" s="41"/>
      <c r="R29" s="40"/>
      <c r="S29" s="40"/>
      <c r="T29" s="40"/>
      <c r="U29" s="40"/>
      <c r="V29" s="40"/>
      <c r="W29" s="40"/>
      <c r="X29" s="40"/>
      <c r="Y29" s="40"/>
      <c r="Z29" s="51"/>
      <c r="AA29" s="40"/>
      <c r="AB29" s="40"/>
      <c r="AC29" s="41"/>
      <c r="AD29" s="40"/>
      <c r="AE29" s="23"/>
      <c r="AF29" s="40"/>
      <c r="AG29" s="40"/>
      <c r="AH29" s="40"/>
      <c r="AI29" s="40"/>
      <c r="AJ29" s="40"/>
      <c r="AK29" s="50"/>
      <c r="AL29" s="40"/>
      <c r="AM29" s="40"/>
      <c r="AN29" s="40"/>
      <c r="AO29" s="61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61"/>
      <c r="BB29" s="40"/>
      <c r="BC29" s="40"/>
      <c r="BD29" s="82"/>
      <c r="BE29" s="40"/>
      <c r="BF29" s="40"/>
      <c r="BG29" s="40"/>
      <c r="BH29" s="40"/>
      <c r="BI29" s="40"/>
      <c r="BJ29" s="40"/>
      <c r="BK29" s="40"/>
      <c r="BL29" s="40"/>
      <c r="BM29" s="86">
        <v>-770.67</v>
      </c>
      <c r="BN29" s="87">
        <v>-824.49</v>
      </c>
      <c r="BO29" s="23"/>
      <c r="BP29" s="82"/>
      <c r="BQ29" s="40"/>
      <c r="BR29" s="40"/>
      <c r="BS29" s="40"/>
      <c r="BT29" s="82"/>
      <c r="BU29" s="40"/>
      <c r="BV29" s="40"/>
      <c r="BW29" s="40"/>
      <c r="BX29" s="40"/>
      <c r="BY29" s="58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61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61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</row>
    <row r="30" spans="2:112" x14ac:dyDescent="0.25">
      <c r="B30" s="84" t="s">
        <v>69</v>
      </c>
      <c r="C30" s="31"/>
      <c r="D30" s="23"/>
      <c r="E30" s="25"/>
      <c r="F30" s="24"/>
      <c r="G30" s="24"/>
      <c r="H30" s="24"/>
      <c r="I30" s="40"/>
      <c r="J30" s="40"/>
      <c r="K30" s="40"/>
      <c r="L30" s="43"/>
      <c r="M30" s="40"/>
      <c r="N30" s="40"/>
      <c r="O30" s="40"/>
      <c r="P30" s="40"/>
      <c r="Q30" s="41"/>
      <c r="R30" s="40"/>
      <c r="S30" s="40"/>
      <c r="T30" s="40"/>
      <c r="U30" s="40"/>
      <c r="V30" s="40"/>
      <c r="W30" s="40"/>
      <c r="X30" s="40"/>
      <c r="Y30" s="40"/>
      <c r="Z30" s="51"/>
      <c r="AA30" s="40"/>
      <c r="AB30" s="40"/>
      <c r="AC30" s="41"/>
      <c r="AD30" s="40"/>
      <c r="AE30" s="23"/>
      <c r="AF30" s="40"/>
      <c r="AG30" s="40"/>
      <c r="AH30" s="40"/>
      <c r="AI30" s="40"/>
      <c r="AJ30" s="40"/>
      <c r="AK30" s="50"/>
      <c r="AL30" s="40"/>
      <c r="AM30" s="40"/>
      <c r="AN30" s="40"/>
      <c r="AO30" s="61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61"/>
      <c r="BB30" s="40"/>
      <c r="BC30" s="40"/>
      <c r="BD30" s="82"/>
      <c r="BE30" s="40"/>
      <c r="BF30" s="40"/>
      <c r="BG30" s="40"/>
      <c r="BH30" s="40"/>
      <c r="BI30" s="40"/>
      <c r="BJ30" s="40"/>
      <c r="BK30" s="40"/>
      <c r="BL30" s="40"/>
      <c r="BM30" s="86">
        <v>-662.41</v>
      </c>
      <c r="BN30" s="87">
        <v>-409.75</v>
      </c>
      <c r="BO30" s="23"/>
      <c r="BP30" s="82"/>
      <c r="BQ30" s="40"/>
      <c r="BR30" s="40"/>
      <c r="BS30" s="40"/>
      <c r="BT30" s="82"/>
      <c r="BU30" s="40"/>
      <c r="BV30" s="40"/>
      <c r="BW30" s="40"/>
      <c r="BX30" s="40"/>
      <c r="BY30" s="58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61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61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</row>
    <row r="31" spans="2:112" x14ac:dyDescent="0.25">
      <c r="B31" s="84" t="s">
        <v>70</v>
      </c>
      <c r="C31" s="31"/>
      <c r="D31" s="23"/>
      <c r="E31" s="25"/>
      <c r="F31" s="24"/>
      <c r="G31" s="24"/>
      <c r="H31" s="24"/>
      <c r="I31" s="40"/>
      <c r="J31" s="40"/>
      <c r="K31" s="40"/>
      <c r="L31" s="43"/>
      <c r="M31" s="40"/>
      <c r="N31" s="40"/>
      <c r="O31" s="40"/>
      <c r="P31" s="40"/>
      <c r="Q31" s="41"/>
      <c r="R31" s="40"/>
      <c r="S31" s="40"/>
      <c r="T31" s="40"/>
      <c r="U31" s="40"/>
      <c r="V31" s="40"/>
      <c r="W31" s="40"/>
      <c r="X31" s="40"/>
      <c r="Y31" s="40"/>
      <c r="Z31" s="51"/>
      <c r="AA31" s="40"/>
      <c r="AB31" s="40"/>
      <c r="AC31" s="41"/>
      <c r="AD31" s="40"/>
      <c r="AE31" s="23"/>
      <c r="AF31" s="40"/>
      <c r="AG31" s="40"/>
      <c r="AH31" s="40"/>
      <c r="AI31" s="40"/>
      <c r="AJ31" s="40"/>
      <c r="AK31" s="50"/>
      <c r="AL31" s="40"/>
      <c r="AM31" s="40"/>
      <c r="AN31" s="40"/>
      <c r="AO31" s="61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61"/>
      <c r="BB31" s="40"/>
      <c r="BC31" s="40"/>
      <c r="BD31" s="82"/>
      <c r="BE31" s="40"/>
      <c r="BF31" s="40"/>
      <c r="BG31" s="40"/>
      <c r="BH31" s="40"/>
      <c r="BI31" s="40"/>
      <c r="BJ31" s="40"/>
      <c r="BK31" s="40"/>
      <c r="BL31" s="40"/>
      <c r="BM31" s="86">
        <v>-1026.3800000000001</v>
      </c>
      <c r="BN31" s="87">
        <v>-40.54</v>
      </c>
      <c r="BO31" s="23"/>
      <c r="BP31" s="82"/>
      <c r="BQ31" s="40"/>
      <c r="BR31" s="40"/>
      <c r="BS31" s="40"/>
      <c r="BT31" s="82"/>
      <c r="BU31" s="40"/>
      <c r="BV31" s="40"/>
      <c r="BW31" s="40"/>
      <c r="BX31" s="40"/>
      <c r="BY31" s="58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61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61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</row>
    <row r="32" spans="2:112" x14ac:dyDescent="0.25">
      <c r="B32" s="84" t="s">
        <v>71</v>
      </c>
      <c r="C32" s="31"/>
      <c r="D32" s="23">
        <v>-1500</v>
      </c>
      <c r="E32" s="25">
        <f t="shared" ref="E32" si="450">D32</f>
        <v>-1500</v>
      </c>
      <c r="F32" s="24">
        <f t="shared" ref="F32" si="451">D32</f>
        <v>-1500</v>
      </c>
      <c r="G32" s="24">
        <f>E32</f>
        <v>-1500</v>
      </c>
      <c r="H32" s="24">
        <f t="shared" ref="H32" si="452">F32</f>
        <v>-1500</v>
      </c>
      <c r="I32" s="40">
        <f t="shared" ref="I32" si="453">G32</f>
        <v>-1500</v>
      </c>
      <c r="J32" s="40">
        <f t="shared" ref="J32" si="454">H32</f>
        <v>-1500</v>
      </c>
      <c r="K32" s="40">
        <f t="shared" ref="K32" si="455">I32</f>
        <v>-1500</v>
      </c>
      <c r="L32" s="43">
        <v>-1000</v>
      </c>
      <c r="M32" s="40">
        <f t="shared" ref="M32" si="456">L32</f>
        <v>-1000</v>
      </c>
      <c r="N32" s="40">
        <f t="shared" ref="N32" si="457">M32</f>
        <v>-1000</v>
      </c>
      <c r="O32" s="40">
        <f t="shared" ref="O32" si="458">N32</f>
        <v>-1000</v>
      </c>
      <c r="P32" s="40">
        <f t="shared" ref="P32" si="459">O32</f>
        <v>-1000</v>
      </c>
      <c r="Q32" s="41">
        <f>P32</f>
        <v>-1000</v>
      </c>
      <c r="R32" s="40">
        <f t="shared" ref="R32" si="460">Q32</f>
        <v>-1000</v>
      </c>
      <c r="S32" s="40">
        <f t="shared" ref="S32" si="461">R32</f>
        <v>-1000</v>
      </c>
      <c r="T32" s="40">
        <f t="shared" ref="T32" si="462">S32</f>
        <v>-1000</v>
      </c>
      <c r="U32" s="40">
        <f t="shared" ref="U32" si="463">T32</f>
        <v>-1000</v>
      </c>
      <c r="V32" s="40">
        <f t="shared" ref="V32" si="464">U32</f>
        <v>-1000</v>
      </c>
      <c r="W32" s="40">
        <f t="shared" ref="W32" si="465">V32</f>
        <v>-1000</v>
      </c>
      <c r="X32" s="40">
        <f t="shared" ref="X32" si="466">W32</f>
        <v>-1000</v>
      </c>
      <c r="Y32" s="40">
        <f t="shared" ref="Y32" si="467">X32</f>
        <v>-1000</v>
      </c>
      <c r="Z32" s="50">
        <f t="shared" ref="Z32" si="468">Y32</f>
        <v>-1000</v>
      </c>
      <c r="AA32" s="40">
        <f t="shared" ref="AA32" si="469">Z32</f>
        <v>-1000</v>
      </c>
      <c r="AB32" s="40">
        <f t="shared" ref="AB32" si="470">AA32</f>
        <v>-1000</v>
      </c>
      <c r="AC32" s="41">
        <f t="shared" ref="AC32" si="471">AB32</f>
        <v>-1000</v>
      </c>
      <c r="AD32" s="40">
        <f t="shared" ref="AD32" si="472">AC32</f>
        <v>-1000</v>
      </c>
      <c r="AE32" s="40">
        <f t="shared" ref="AE32" si="473">AD32</f>
        <v>-1000</v>
      </c>
      <c r="AF32" s="40">
        <f t="shared" ref="AF32" si="474">AE32</f>
        <v>-1000</v>
      </c>
      <c r="AG32" s="40">
        <f t="shared" ref="AG32" si="475">AF32</f>
        <v>-1000</v>
      </c>
      <c r="AH32" s="40">
        <f t="shared" ref="AH32" si="476">AG32</f>
        <v>-1000</v>
      </c>
      <c r="AI32" s="40">
        <f t="shared" ref="AI32" si="477">AH32</f>
        <v>-1000</v>
      </c>
      <c r="AJ32" s="43">
        <v>-2000</v>
      </c>
      <c r="AK32" s="40">
        <f t="shared" ref="AK32" si="478">AJ32</f>
        <v>-2000</v>
      </c>
      <c r="AL32" s="40">
        <f t="shared" ref="AL32" si="479">AK32</f>
        <v>-2000</v>
      </c>
      <c r="AM32" s="40">
        <f t="shared" ref="AM32" si="480">AL32</f>
        <v>-2000</v>
      </c>
      <c r="AN32" s="40">
        <f t="shared" ref="AN32:BL32" si="481">AM32</f>
        <v>-2000</v>
      </c>
      <c r="AO32" s="61">
        <f t="shared" si="481"/>
        <v>-2000</v>
      </c>
      <c r="AP32" s="40">
        <f t="shared" si="481"/>
        <v>-2000</v>
      </c>
      <c r="AQ32" s="40">
        <f t="shared" si="481"/>
        <v>-2000</v>
      </c>
      <c r="AR32" s="40">
        <f t="shared" si="481"/>
        <v>-2000</v>
      </c>
      <c r="AS32" s="40">
        <f t="shared" si="481"/>
        <v>-2000</v>
      </c>
      <c r="AT32" s="40">
        <f t="shared" si="481"/>
        <v>-2000</v>
      </c>
      <c r="AU32" s="40">
        <f t="shared" si="481"/>
        <v>-2000</v>
      </c>
      <c r="AV32" s="40">
        <f t="shared" si="481"/>
        <v>-2000</v>
      </c>
      <c r="AW32" s="40">
        <f t="shared" si="481"/>
        <v>-2000</v>
      </c>
      <c r="AX32" s="40">
        <f t="shared" si="481"/>
        <v>-2000</v>
      </c>
      <c r="AY32" s="40">
        <f t="shared" si="481"/>
        <v>-2000</v>
      </c>
      <c r="AZ32" s="40">
        <f t="shared" si="481"/>
        <v>-2000</v>
      </c>
      <c r="BA32" s="61">
        <f t="shared" si="481"/>
        <v>-2000</v>
      </c>
      <c r="BB32" s="40">
        <f t="shared" si="481"/>
        <v>-2000</v>
      </c>
      <c r="BC32" s="40">
        <f t="shared" si="481"/>
        <v>-2000</v>
      </c>
      <c r="BD32" s="40">
        <f t="shared" si="481"/>
        <v>-2000</v>
      </c>
      <c r="BE32" s="40">
        <f t="shared" si="481"/>
        <v>-2000</v>
      </c>
      <c r="BF32" s="40">
        <f t="shared" si="481"/>
        <v>-2000</v>
      </c>
      <c r="BG32" s="40">
        <f t="shared" si="481"/>
        <v>-2000</v>
      </c>
      <c r="BH32" s="40">
        <f t="shared" si="481"/>
        <v>-2000</v>
      </c>
      <c r="BI32" s="40">
        <f t="shared" si="481"/>
        <v>-2000</v>
      </c>
      <c r="BJ32" s="40">
        <f t="shared" si="481"/>
        <v>-2000</v>
      </c>
      <c r="BK32" s="40">
        <f t="shared" si="481"/>
        <v>-2000</v>
      </c>
      <c r="BL32" s="40">
        <f t="shared" si="481"/>
        <v>-2000</v>
      </c>
      <c r="BM32" s="88">
        <v>-153.55000000000001</v>
      </c>
      <c r="BN32" s="87">
        <v>-998.24</v>
      </c>
      <c r="BO32" s="23">
        <v>-2000</v>
      </c>
      <c r="BP32" s="40">
        <f t="shared" ref="BP32:CV32" si="482">BO32</f>
        <v>-2000</v>
      </c>
      <c r="BQ32" s="40">
        <f t="shared" si="482"/>
        <v>-2000</v>
      </c>
      <c r="BR32" s="40">
        <f t="shared" si="482"/>
        <v>-2000</v>
      </c>
      <c r="BS32" s="40">
        <f t="shared" si="482"/>
        <v>-2000</v>
      </c>
      <c r="BT32" s="40">
        <f t="shared" si="482"/>
        <v>-2000</v>
      </c>
      <c r="BU32" s="40">
        <f t="shared" si="482"/>
        <v>-2000</v>
      </c>
      <c r="BV32" s="40">
        <f t="shared" si="482"/>
        <v>-2000</v>
      </c>
      <c r="BW32" s="40">
        <f t="shared" si="482"/>
        <v>-2000</v>
      </c>
      <c r="BX32" s="40">
        <f t="shared" si="482"/>
        <v>-2000</v>
      </c>
      <c r="BY32" s="58">
        <f t="shared" si="482"/>
        <v>-2000</v>
      </c>
      <c r="BZ32" s="40">
        <f t="shared" si="482"/>
        <v>-2000</v>
      </c>
      <c r="CA32" s="40">
        <f t="shared" si="482"/>
        <v>-2000</v>
      </c>
      <c r="CB32" s="40">
        <f t="shared" si="482"/>
        <v>-2000</v>
      </c>
      <c r="CC32" s="40">
        <f t="shared" si="482"/>
        <v>-2000</v>
      </c>
      <c r="CD32" s="40">
        <f t="shared" si="482"/>
        <v>-2000</v>
      </c>
      <c r="CE32" s="40">
        <f t="shared" si="482"/>
        <v>-2000</v>
      </c>
      <c r="CF32" s="40">
        <f t="shared" si="482"/>
        <v>-2000</v>
      </c>
      <c r="CG32" s="40">
        <f t="shared" si="482"/>
        <v>-2000</v>
      </c>
      <c r="CH32" s="40">
        <f t="shared" si="482"/>
        <v>-2000</v>
      </c>
      <c r="CI32" s="40">
        <f t="shared" si="482"/>
        <v>-2000</v>
      </c>
      <c r="CJ32" s="40">
        <f t="shared" si="482"/>
        <v>-2000</v>
      </c>
      <c r="CK32" s="61">
        <f t="shared" si="482"/>
        <v>-2000</v>
      </c>
      <c r="CL32" s="40">
        <f t="shared" si="482"/>
        <v>-2000</v>
      </c>
      <c r="CM32" s="40">
        <f t="shared" si="482"/>
        <v>-2000</v>
      </c>
      <c r="CN32" s="40">
        <f t="shared" si="482"/>
        <v>-2000</v>
      </c>
      <c r="CO32" s="40">
        <f t="shared" si="482"/>
        <v>-2000</v>
      </c>
      <c r="CP32" s="40">
        <f t="shared" si="482"/>
        <v>-2000</v>
      </c>
      <c r="CQ32" s="40">
        <f t="shared" si="482"/>
        <v>-2000</v>
      </c>
      <c r="CR32" s="40">
        <f t="shared" si="482"/>
        <v>-2000</v>
      </c>
      <c r="CS32" s="40">
        <f t="shared" si="482"/>
        <v>-2000</v>
      </c>
      <c r="CT32" s="40">
        <f t="shared" si="482"/>
        <v>-2000</v>
      </c>
      <c r="CU32" s="40">
        <f t="shared" si="482"/>
        <v>-2000</v>
      </c>
      <c r="CV32" s="40">
        <f t="shared" si="482"/>
        <v>-2000</v>
      </c>
      <c r="CW32" s="61">
        <f t="shared" ref="CW32" si="483">CV32</f>
        <v>-2000</v>
      </c>
      <c r="CX32" s="40">
        <f t="shared" ref="CX32" si="484">CW32</f>
        <v>-2000</v>
      </c>
      <c r="CY32" s="40">
        <f t="shared" ref="CY32" si="485">CX32</f>
        <v>-2000</v>
      </c>
      <c r="CZ32" s="40">
        <f t="shared" ref="CZ32" si="486">CY32</f>
        <v>-2000</v>
      </c>
      <c r="DA32" s="40">
        <f t="shared" ref="DA32" si="487">CZ32</f>
        <v>-2000</v>
      </c>
      <c r="DB32" s="40">
        <f t="shared" ref="DB32" si="488">DA32</f>
        <v>-2000</v>
      </c>
      <c r="DC32" s="40">
        <f t="shared" ref="DC32" si="489">DB32</f>
        <v>-2000</v>
      </c>
      <c r="DD32" s="40">
        <f t="shared" ref="DD32" si="490">DC32</f>
        <v>-2000</v>
      </c>
      <c r="DE32" s="40">
        <f t="shared" ref="DE32" si="491">DD32</f>
        <v>-2000</v>
      </c>
      <c r="DF32" s="40">
        <f t="shared" ref="DF32" si="492">DE32</f>
        <v>-2000</v>
      </c>
      <c r="DG32" s="40">
        <f t="shared" ref="DG32" si="493">DF32</f>
        <v>-2000</v>
      </c>
      <c r="DH32" s="40">
        <f t="shared" ref="DH32" si="494">DG32</f>
        <v>-2000</v>
      </c>
    </row>
    <row r="33" spans="2:112" x14ac:dyDescent="0.25">
      <c r="B33" s="84" t="s">
        <v>72</v>
      </c>
      <c r="C33" s="31"/>
      <c r="D33" s="23"/>
      <c r="E33" s="25"/>
      <c r="F33" s="24"/>
      <c r="G33" s="24"/>
      <c r="H33" s="24"/>
      <c r="I33" s="40"/>
      <c r="J33" s="40"/>
      <c r="K33" s="40"/>
      <c r="L33" s="43"/>
      <c r="M33" s="40"/>
      <c r="N33" s="40"/>
      <c r="O33" s="40"/>
      <c r="P33" s="40"/>
      <c r="Q33" s="41"/>
      <c r="R33" s="40"/>
      <c r="S33" s="40"/>
      <c r="T33" s="40"/>
      <c r="U33" s="40"/>
      <c r="V33" s="40"/>
      <c r="W33" s="40"/>
      <c r="X33" s="40"/>
      <c r="Y33" s="40"/>
      <c r="Z33" s="51"/>
      <c r="AA33" s="40"/>
      <c r="AB33" s="40"/>
      <c r="AC33" s="41"/>
      <c r="AD33" s="40"/>
      <c r="AE33" s="23"/>
      <c r="AF33" s="40"/>
      <c r="AG33" s="40"/>
      <c r="AH33" s="40"/>
      <c r="AI33" s="40"/>
      <c r="AJ33" s="40"/>
      <c r="AK33" s="50"/>
      <c r="AL33" s="40"/>
      <c r="AM33" s="40"/>
      <c r="AN33" s="40"/>
      <c r="AO33" s="61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61"/>
      <c r="BB33" s="40"/>
      <c r="BC33" s="40"/>
      <c r="BD33" s="82"/>
      <c r="BE33" s="40"/>
      <c r="BF33" s="40"/>
      <c r="BG33" s="40"/>
      <c r="BH33" s="40"/>
      <c r="BI33" s="40"/>
      <c r="BJ33" s="40"/>
      <c r="BK33" s="40"/>
      <c r="BL33" s="40"/>
      <c r="BM33" s="86">
        <v>-260.75</v>
      </c>
      <c r="BN33" s="87">
        <v>-288.95000000000005</v>
      </c>
      <c r="BO33" s="23"/>
      <c r="BP33" s="82"/>
      <c r="BQ33" s="40"/>
      <c r="BR33" s="40"/>
      <c r="BS33" s="40"/>
      <c r="BT33" s="82"/>
      <c r="BU33" s="40"/>
      <c r="BV33" s="40"/>
      <c r="BW33" s="40"/>
      <c r="BX33" s="40"/>
      <c r="BY33" s="58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61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61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</row>
    <row r="34" spans="2:112" x14ac:dyDescent="0.25">
      <c r="B34" s="84" t="s">
        <v>73</v>
      </c>
      <c r="C34" s="31"/>
      <c r="D34" s="23"/>
      <c r="E34" s="25"/>
      <c r="F34" s="24"/>
      <c r="G34" s="24"/>
      <c r="H34" s="24"/>
      <c r="I34" s="40"/>
      <c r="J34" s="40"/>
      <c r="K34" s="40"/>
      <c r="L34" s="43"/>
      <c r="M34" s="40"/>
      <c r="N34" s="40"/>
      <c r="O34" s="40"/>
      <c r="P34" s="40"/>
      <c r="Q34" s="41"/>
      <c r="R34" s="40"/>
      <c r="S34" s="40"/>
      <c r="T34" s="40"/>
      <c r="U34" s="40"/>
      <c r="V34" s="40"/>
      <c r="W34" s="40"/>
      <c r="X34" s="40"/>
      <c r="Y34" s="40"/>
      <c r="Z34" s="51"/>
      <c r="AA34" s="40"/>
      <c r="AB34" s="40"/>
      <c r="AC34" s="41"/>
      <c r="AD34" s="40"/>
      <c r="AE34" s="23"/>
      <c r="AF34" s="40"/>
      <c r="AG34" s="40"/>
      <c r="AH34" s="40"/>
      <c r="AI34" s="40"/>
      <c r="AJ34" s="40"/>
      <c r="AK34" s="50"/>
      <c r="AL34" s="40"/>
      <c r="AM34" s="40"/>
      <c r="AN34" s="40"/>
      <c r="AO34" s="61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61"/>
      <c r="BB34" s="40"/>
      <c r="BC34" s="40"/>
      <c r="BD34" s="82"/>
      <c r="BE34" s="40"/>
      <c r="BF34" s="40"/>
      <c r="BG34" s="40"/>
      <c r="BH34" s="40"/>
      <c r="BI34" s="40"/>
      <c r="BJ34" s="40"/>
      <c r="BK34" s="40"/>
      <c r="BL34" s="40"/>
      <c r="BM34" s="86">
        <v>-328</v>
      </c>
      <c r="BN34" s="87">
        <v>-35.9</v>
      </c>
      <c r="BO34" s="23"/>
      <c r="BP34" s="82"/>
      <c r="BQ34" s="40"/>
      <c r="BR34" s="40"/>
      <c r="BS34" s="40"/>
      <c r="BT34" s="82"/>
      <c r="BU34" s="40"/>
      <c r="BV34" s="40"/>
      <c r="BW34" s="40"/>
      <c r="BX34" s="40"/>
      <c r="BY34" s="58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61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61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</row>
    <row r="35" spans="2:112" x14ac:dyDescent="0.25">
      <c r="B35" s="84" t="s">
        <v>74</v>
      </c>
      <c r="C35" s="31"/>
      <c r="D35" s="23">
        <v>-1500</v>
      </c>
      <c r="E35" s="25">
        <f t="shared" ref="E35" si="495">D35</f>
        <v>-1500</v>
      </c>
      <c r="F35" s="24">
        <f t="shared" ref="F35" si="496">D35</f>
        <v>-1500</v>
      </c>
      <c r="G35" s="24">
        <f>E35</f>
        <v>-1500</v>
      </c>
      <c r="H35" s="24">
        <f t="shared" ref="H35" si="497">F35</f>
        <v>-1500</v>
      </c>
      <c r="I35" s="40">
        <f t="shared" ref="I35" si="498">G35</f>
        <v>-1500</v>
      </c>
      <c r="J35" s="40">
        <f t="shared" ref="J35" si="499">H35</f>
        <v>-1500</v>
      </c>
      <c r="K35" s="40">
        <f t="shared" ref="K35" si="500">I35</f>
        <v>-1500</v>
      </c>
      <c r="L35" s="43">
        <v>-1000</v>
      </c>
      <c r="M35" s="40">
        <f t="shared" ref="M35:AA35" si="501">L35</f>
        <v>-1000</v>
      </c>
      <c r="N35" s="40">
        <f t="shared" si="501"/>
        <v>-1000</v>
      </c>
      <c r="O35" s="40">
        <f t="shared" si="501"/>
        <v>-1000</v>
      </c>
      <c r="P35" s="40">
        <f t="shared" si="501"/>
        <v>-1000</v>
      </c>
      <c r="Q35" s="41">
        <f t="shared" si="501"/>
        <v>-1000</v>
      </c>
      <c r="R35" s="40">
        <f t="shared" si="501"/>
        <v>-1000</v>
      </c>
      <c r="S35" s="40">
        <f t="shared" si="501"/>
        <v>-1000</v>
      </c>
      <c r="T35" s="40">
        <f t="shared" si="501"/>
        <v>-1000</v>
      </c>
      <c r="U35" s="40">
        <f t="shared" si="501"/>
        <v>-1000</v>
      </c>
      <c r="V35" s="40">
        <f t="shared" si="501"/>
        <v>-1000</v>
      </c>
      <c r="W35" s="40">
        <f t="shared" si="501"/>
        <v>-1000</v>
      </c>
      <c r="X35" s="40">
        <f t="shared" si="501"/>
        <v>-1000</v>
      </c>
      <c r="Y35" s="40">
        <f t="shared" si="501"/>
        <v>-1000</v>
      </c>
      <c r="Z35" s="50">
        <f t="shared" si="501"/>
        <v>-1000</v>
      </c>
      <c r="AA35" s="40">
        <f t="shared" si="501"/>
        <v>-1000</v>
      </c>
      <c r="AB35" s="50">
        <f>AA35-120</f>
        <v>-1120</v>
      </c>
      <c r="AC35" s="41">
        <f t="shared" ref="AC35:BL35" si="502">AB35</f>
        <v>-1120</v>
      </c>
      <c r="AD35" s="40">
        <f t="shared" si="502"/>
        <v>-1120</v>
      </c>
      <c r="AE35" s="40">
        <f t="shared" si="502"/>
        <v>-1120</v>
      </c>
      <c r="AF35" s="40">
        <f t="shared" si="502"/>
        <v>-1120</v>
      </c>
      <c r="AG35" s="40">
        <f t="shared" si="502"/>
        <v>-1120</v>
      </c>
      <c r="AH35" s="40">
        <f t="shared" si="502"/>
        <v>-1120</v>
      </c>
      <c r="AI35" s="40">
        <f t="shared" si="502"/>
        <v>-1120</v>
      </c>
      <c r="AJ35" s="40">
        <f t="shared" si="502"/>
        <v>-1120</v>
      </c>
      <c r="AK35" s="40">
        <f t="shared" si="502"/>
        <v>-1120</v>
      </c>
      <c r="AL35" s="40">
        <f t="shared" si="502"/>
        <v>-1120</v>
      </c>
      <c r="AM35" s="40">
        <f t="shared" si="502"/>
        <v>-1120</v>
      </c>
      <c r="AN35" s="40">
        <f t="shared" si="502"/>
        <v>-1120</v>
      </c>
      <c r="AO35" s="61">
        <f t="shared" si="502"/>
        <v>-1120</v>
      </c>
      <c r="AP35" s="40">
        <f t="shared" si="502"/>
        <v>-1120</v>
      </c>
      <c r="AQ35" s="40">
        <f t="shared" si="502"/>
        <v>-1120</v>
      </c>
      <c r="AR35" s="40">
        <f t="shared" si="502"/>
        <v>-1120</v>
      </c>
      <c r="AS35" s="40">
        <f t="shared" si="502"/>
        <v>-1120</v>
      </c>
      <c r="AT35" s="40">
        <f t="shared" si="502"/>
        <v>-1120</v>
      </c>
      <c r="AU35" s="40">
        <f t="shared" si="502"/>
        <v>-1120</v>
      </c>
      <c r="AV35" s="40">
        <f t="shared" si="502"/>
        <v>-1120</v>
      </c>
      <c r="AW35" s="40">
        <f t="shared" si="502"/>
        <v>-1120</v>
      </c>
      <c r="AX35" s="40">
        <f t="shared" si="502"/>
        <v>-1120</v>
      </c>
      <c r="AY35" s="40">
        <f t="shared" si="502"/>
        <v>-1120</v>
      </c>
      <c r="AZ35" s="40">
        <f t="shared" si="502"/>
        <v>-1120</v>
      </c>
      <c r="BA35" s="61">
        <f t="shared" si="502"/>
        <v>-1120</v>
      </c>
      <c r="BB35" s="40">
        <f t="shared" si="502"/>
        <v>-1120</v>
      </c>
      <c r="BC35" s="40">
        <f t="shared" si="502"/>
        <v>-1120</v>
      </c>
      <c r="BD35" s="40">
        <f t="shared" si="502"/>
        <v>-1120</v>
      </c>
      <c r="BE35" s="40">
        <f t="shared" si="502"/>
        <v>-1120</v>
      </c>
      <c r="BF35" s="40">
        <f t="shared" si="502"/>
        <v>-1120</v>
      </c>
      <c r="BG35" s="40">
        <f t="shared" si="502"/>
        <v>-1120</v>
      </c>
      <c r="BH35" s="40">
        <f t="shared" si="502"/>
        <v>-1120</v>
      </c>
      <c r="BI35" s="40">
        <f t="shared" si="502"/>
        <v>-1120</v>
      </c>
      <c r="BJ35" s="40">
        <f t="shared" si="502"/>
        <v>-1120</v>
      </c>
      <c r="BK35" s="40">
        <f t="shared" si="502"/>
        <v>-1120</v>
      </c>
      <c r="BL35" s="40">
        <f t="shared" si="502"/>
        <v>-1120</v>
      </c>
      <c r="BM35" s="88">
        <v>-35.1</v>
      </c>
      <c r="BN35" s="87">
        <v>-131.05000000000001</v>
      </c>
      <c r="BO35" s="23">
        <v>-1120</v>
      </c>
      <c r="BP35" s="40">
        <f t="shared" ref="BP35:CV35" si="503">BO35</f>
        <v>-1120</v>
      </c>
      <c r="BQ35" s="40">
        <f t="shared" si="503"/>
        <v>-1120</v>
      </c>
      <c r="BR35" s="40">
        <f t="shared" si="503"/>
        <v>-1120</v>
      </c>
      <c r="BS35" s="40">
        <f t="shared" si="503"/>
        <v>-1120</v>
      </c>
      <c r="BT35" s="40">
        <f t="shared" si="503"/>
        <v>-1120</v>
      </c>
      <c r="BU35" s="40">
        <f t="shared" si="503"/>
        <v>-1120</v>
      </c>
      <c r="BV35" s="40">
        <f t="shared" si="503"/>
        <v>-1120</v>
      </c>
      <c r="BW35" s="40">
        <f t="shared" si="503"/>
        <v>-1120</v>
      </c>
      <c r="BX35" s="40">
        <f t="shared" si="503"/>
        <v>-1120</v>
      </c>
      <c r="BY35" s="58">
        <v>-1500</v>
      </c>
      <c r="BZ35" s="40">
        <f t="shared" si="503"/>
        <v>-1500</v>
      </c>
      <c r="CA35" s="40">
        <f t="shared" si="503"/>
        <v>-1500</v>
      </c>
      <c r="CB35" s="40">
        <f t="shared" si="503"/>
        <v>-1500</v>
      </c>
      <c r="CC35" s="40">
        <f t="shared" si="503"/>
        <v>-1500</v>
      </c>
      <c r="CD35" s="40">
        <f t="shared" si="503"/>
        <v>-1500</v>
      </c>
      <c r="CE35" s="40">
        <f t="shared" si="503"/>
        <v>-1500</v>
      </c>
      <c r="CF35" s="40">
        <f t="shared" si="503"/>
        <v>-1500</v>
      </c>
      <c r="CG35" s="40">
        <f t="shared" si="503"/>
        <v>-1500</v>
      </c>
      <c r="CH35" s="40">
        <f t="shared" si="503"/>
        <v>-1500</v>
      </c>
      <c r="CI35" s="40">
        <f t="shared" si="503"/>
        <v>-1500</v>
      </c>
      <c r="CJ35" s="40">
        <f t="shared" si="503"/>
        <v>-1500</v>
      </c>
      <c r="CK35" s="61">
        <f t="shared" si="503"/>
        <v>-1500</v>
      </c>
      <c r="CL35" s="40">
        <f t="shared" si="503"/>
        <v>-1500</v>
      </c>
      <c r="CM35" s="40">
        <f t="shared" si="503"/>
        <v>-1500</v>
      </c>
      <c r="CN35" s="40">
        <f t="shared" si="503"/>
        <v>-1500</v>
      </c>
      <c r="CO35" s="40">
        <f t="shared" si="503"/>
        <v>-1500</v>
      </c>
      <c r="CP35" s="40">
        <f t="shared" si="503"/>
        <v>-1500</v>
      </c>
      <c r="CQ35" s="40">
        <f t="shared" si="503"/>
        <v>-1500</v>
      </c>
      <c r="CR35" s="40">
        <f t="shared" si="503"/>
        <v>-1500</v>
      </c>
      <c r="CS35" s="40">
        <f t="shared" si="503"/>
        <v>-1500</v>
      </c>
      <c r="CT35" s="40">
        <f t="shared" si="503"/>
        <v>-1500</v>
      </c>
      <c r="CU35" s="40">
        <f t="shared" si="503"/>
        <v>-1500</v>
      </c>
      <c r="CV35" s="40">
        <f t="shared" si="503"/>
        <v>-1500</v>
      </c>
      <c r="CW35" s="61">
        <f t="shared" ref="CW35" si="504">CV35</f>
        <v>-1500</v>
      </c>
      <c r="CX35" s="40">
        <f t="shared" ref="CX35" si="505">CW35</f>
        <v>-1500</v>
      </c>
      <c r="CY35" s="40">
        <f t="shared" ref="CY35" si="506">CX35</f>
        <v>-1500</v>
      </c>
      <c r="CZ35" s="40">
        <f t="shared" ref="CZ35" si="507">CY35</f>
        <v>-1500</v>
      </c>
      <c r="DA35" s="40">
        <f t="shared" ref="DA35" si="508">CZ35</f>
        <v>-1500</v>
      </c>
      <c r="DB35" s="40">
        <f t="shared" ref="DB35" si="509">DA35</f>
        <v>-1500</v>
      </c>
      <c r="DC35" s="40">
        <f t="shared" ref="DC35" si="510">DB35</f>
        <v>-1500</v>
      </c>
      <c r="DD35" s="40">
        <f t="shared" ref="DD35" si="511">DC35</f>
        <v>-1500</v>
      </c>
      <c r="DE35" s="40">
        <f t="shared" ref="DE35" si="512">DD35</f>
        <v>-1500</v>
      </c>
      <c r="DF35" s="40">
        <f t="shared" ref="DF35" si="513">DE35</f>
        <v>-1500</v>
      </c>
      <c r="DG35" s="40">
        <f t="shared" ref="DG35" si="514">DF35</f>
        <v>-1500</v>
      </c>
      <c r="DH35" s="40">
        <f t="shared" ref="DH35" si="515">DG35</f>
        <v>-1500</v>
      </c>
    </row>
    <row r="36" spans="2:112" x14ac:dyDescent="0.25">
      <c r="B36" s="84" t="s">
        <v>75</v>
      </c>
      <c r="C36" s="31"/>
      <c r="D36" s="23"/>
      <c r="E36" s="25"/>
      <c r="F36" s="24"/>
      <c r="G36" s="24"/>
      <c r="H36" s="24"/>
      <c r="I36" s="40"/>
      <c r="J36" s="40"/>
      <c r="K36" s="40"/>
      <c r="L36" s="43"/>
      <c r="M36" s="40"/>
      <c r="N36" s="40"/>
      <c r="O36" s="40"/>
      <c r="P36" s="40"/>
      <c r="Q36" s="41"/>
      <c r="R36" s="40"/>
      <c r="S36" s="40"/>
      <c r="T36" s="40"/>
      <c r="U36" s="40"/>
      <c r="V36" s="40"/>
      <c r="W36" s="40"/>
      <c r="X36" s="40"/>
      <c r="Y36" s="40"/>
      <c r="Z36" s="51"/>
      <c r="AA36" s="40"/>
      <c r="AB36" s="40"/>
      <c r="AC36" s="41"/>
      <c r="AD36" s="40"/>
      <c r="AE36" s="23"/>
      <c r="AF36" s="40"/>
      <c r="AG36" s="40"/>
      <c r="AH36" s="40"/>
      <c r="AI36" s="40"/>
      <c r="AJ36" s="40"/>
      <c r="AK36" s="50"/>
      <c r="AL36" s="40"/>
      <c r="AM36" s="40"/>
      <c r="AN36" s="40"/>
      <c r="AO36" s="61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61"/>
      <c r="BB36" s="40"/>
      <c r="BC36" s="40"/>
      <c r="BD36" s="82"/>
      <c r="BE36" s="40"/>
      <c r="BF36" s="40"/>
      <c r="BG36" s="40"/>
      <c r="BH36" s="40"/>
      <c r="BI36" s="40"/>
      <c r="BJ36" s="40"/>
      <c r="BK36" s="40"/>
      <c r="BL36" s="40"/>
      <c r="BM36" s="86">
        <v>-100</v>
      </c>
      <c r="BN36" s="87">
        <v>0</v>
      </c>
      <c r="BO36" s="23"/>
      <c r="BP36" s="82"/>
      <c r="BQ36" s="40"/>
      <c r="BR36" s="40"/>
      <c r="BS36" s="40"/>
      <c r="BT36" s="82"/>
      <c r="BU36" s="40"/>
      <c r="BV36" s="40"/>
      <c r="BW36" s="40"/>
      <c r="BX36" s="40"/>
      <c r="BY36" s="58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61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61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</row>
    <row r="37" spans="2:112" x14ac:dyDescent="0.25">
      <c r="B37" s="84" t="s">
        <v>76</v>
      </c>
      <c r="C37" s="31"/>
      <c r="D37" s="23"/>
      <c r="E37" s="25"/>
      <c r="F37" s="24"/>
      <c r="G37" s="24"/>
      <c r="H37" s="24"/>
      <c r="I37" s="40"/>
      <c r="J37" s="40"/>
      <c r="K37" s="40"/>
      <c r="L37" s="43"/>
      <c r="M37" s="40"/>
      <c r="N37" s="40"/>
      <c r="O37" s="40"/>
      <c r="P37" s="40"/>
      <c r="Q37" s="41"/>
      <c r="R37" s="40"/>
      <c r="S37" s="40"/>
      <c r="T37" s="40"/>
      <c r="U37" s="40"/>
      <c r="V37" s="40"/>
      <c r="W37" s="40"/>
      <c r="X37" s="40"/>
      <c r="Y37" s="40"/>
      <c r="Z37" s="51"/>
      <c r="AA37" s="40"/>
      <c r="AB37" s="40"/>
      <c r="AC37" s="41"/>
      <c r="AD37" s="40"/>
      <c r="AE37" s="23"/>
      <c r="AF37" s="40"/>
      <c r="AG37" s="40"/>
      <c r="AH37" s="40"/>
      <c r="AI37" s="40"/>
      <c r="AJ37" s="40"/>
      <c r="AK37" s="50"/>
      <c r="AL37" s="40"/>
      <c r="AM37" s="40"/>
      <c r="AN37" s="40"/>
      <c r="AO37" s="61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61"/>
      <c r="BB37" s="40"/>
      <c r="BC37" s="40"/>
      <c r="BD37" s="82"/>
      <c r="BE37" s="40"/>
      <c r="BF37" s="40"/>
      <c r="BG37" s="40"/>
      <c r="BH37" s="40"/>
      <c r="BI37" s="40"/>
      <c r="BJ37" s="40"/>
      <c r="BK37" s="40"/>
      <c r="BL37" s="40"/>
      <c r="BM37" s="86">
        <v>0</v>
      </c>
      <c r="BN37" s="87">
        <v>0</v>
      </c>
      <c r="BO37" s="23"/>
      <c r="BP37" s="82"/>
      <c r="BQ37" s="40"/>
      <c r="BR37" s="40"/>
      <c r="BS37" s="40"/>
      <c r="BT37" s="82"/>
      <c r="BU37" s="40"/>
      <c r="BV37" s="40"/>
      <c r="BW37" s="40"/>
      <c r="BX37" s="40"/>
      <c r="BY37" s="58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61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61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</row>
    <row r="38" spans="2:112" x14ac:dyDescent="0.25">
      <c r="B38" s="84" t="s">
        <v>77</v>
      </c>
      <c r="C38" s="31"/>
      <c r="D38" s="23"/>
      <c r="E38" s="25"/>
      <c r="F38" s="24"/>
      <c r="G38" s="24"/>
      <c r="H38" s="24"/>
      <c r="I38" s="40"/>
      <c r="J38" s="40"/>
      <c r="K38" s="40"/>
      <c r="L38" s="43"/>
      <c r="M38" s="40"/>
      <c r="N38" s="40"/>
      <c r="O38" s="40"/>
      <c r="P38" s="40"/>
      <c r="Q38" s="41"/>
      <c r="R38" s="40"/>
      <c r="S38" s="40"/>
      <c r="T38" s="40"/>
      <c r="U38" s="40"/>
      <c r="V38" s="40"/>
      <c r="W38" s="40"/>
      <c r="X38" s="40"/>
      <c r="Y38" s="40"/>
      <c r="Z38" s="51"/>
      <c r="AA38" s="40"/>
      <c r="AB38" s="40"/>
      <c r="AC38" s="41"/>
      <c r="AD38" s="40"/>
      <c r="AE38" s="23"/>
      <c r="AF38" s="40"/>
      <c r="AG38" s="40"/>
      <c r="AH38" s="40"/>
      <c r="AI38" s="40"/>
      <c r="AJ38" s="40"/>
      <c r="AK38" s="50"/>
      <c r="AL38" s="40"/>
      <c r="AM38" s="40"/>
      <c r="AN38" s="40"/>
      <c r="AO38" s="61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61"/>
      <c r="BB38" s="40"/>
      <c r="BC38" s="40"/>
      <c r="BD38" s="82"/>
      <c r="BE38" s="40"/>
      <c r="BF38" s="40"/>
      <c r="BG38" s="40"/>
      <c r="BH38" s="40"/>
      <c r="BI38" s="40"/>
      <c r="BJ38" s="40"/>
      <c r="BK38" s="40"/>
      <c r="BL38" s="40"/>
      <c r="BM38" s="86">
        <v>0</v>
      </c>
      <c r="BN38" s="87">
        <v>0</v>
      </c>
      <c r="BO38" s="23"/>
      <c r="BP38" s="82"/>
      <c r="BQ38" s="40"/>
      <c r="BR38" s="40"/>
      <c r="BS38" s="40"/>
      <c r="BT38" s="82"/>
      <c r="BU38" s="40"/>
      <c r="BV38" s="40"/>
      <c r="BW38" s="40"/>
      <c r="BX38" s="40"/>
      <c r="BY38" s="58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61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61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</row>
    <row r="39" spans="2:112" x14ac:dyDescent="0.25">
      <c r="B39" s="84" t="s">
        <v>78</v>
      </c>
      <c r="C39" s="31"/>
      <c r="D39" s="23"/>
      <c r="E39" s="25"/>
      <c r="F39" s="24"/>
      <c r="G39" s="24"/>
      <c r="H39" s="24"/>
      <c r="I39" s="40"/>
      <c r="J39" s="40"/>
      <c r="K39" s="40"/>
      <c r="L39" s="43"/>
      <c r="M39" s="40"/>
      <c r="N39" s="40"/>
      <c r="O39" s="40"/>
      <c r="P39" s="40"/>
      <c r="Q39" s="41"/>
      <c r="R39" s="40"/>
      <c r="S39" s="40"/>
      <c r="T39" s="40"/>
      <c r="U39" s="40"/>
      <c r="V39" s="40"/>
      <c r="W39" s="40"/>
      <c r="X39" s="40"/>
      <c r="Y39" s="40"/>
      <c r="Z39" s="51"/>
      <c r="AA39" s="40"/>
      <c r="AB39" s="40"/>
      <c r="AC39" s="41"/>
      <c r="AD39" s="40"/>
      <c r="AE39" s="23"/>
      <c r="AF39" s="40"/>
      <c r="AG39" s="40"/>
      <c r="AH39" s="40"/>
      <c r="AI39" s="40"/>
      <c r="AJ39" s="40"/>
      <c r="AK39" s="50"/>
      <c r="AL39" s="40"/>
      <c r="AM39" s="40"/>
      <c r="AN39" s="40"/>
      <c r="AO39" s="61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61"/>
      <c r="BB39" s="40"/>
      <c r="BC39" s="40"/>
      <c r="BD39" s="82"/>
      <c r="BE39" s="40"/>
      <c r="BF39" s="40"/>
      <c r="BG39" s="40"/>
      <c r="BH39" s="40"/>
      <c r="BI39" s="40"/>
      <c r="BJ39" s="40"/>
      <c r="BK39" s="40"/>
      <c r="BL39" s="40"/>
      <c r="BM39" s="86">
        <v>0</v>
      </c>
      <c r="BN39" s="87">
        <v>0</v>
      </c>
      <c r="BO39" s="23"/>
      <c r="BP39" s="82"/>
      <c r="BQ39" s="40"/>
      <c r="BR39" s="40"/>
      <c r="BS39" s="40"/>
      <c r="BT39" s="82"/>
      <c r="BU39" s="40"/>
      <c r="BV39" s="40"/>
      <c r="BW39" s="40"/>
      <c r="BX39" s="40"/>
      <c r="BY39" s="58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61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61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</row>
    <row r="40" spans="2:112" x14ac:dyDescent="0.25">
      <c r="B40" s="84" t="s">
        <v>79</v>
      </c>
      <c r="C40" s="31"/>
      <c r="D40" s="23"/>
      <c r="E40" s="25"/>
      <c r="F40" s="24"/>
      <c r="G40" s="24"/>
      <c r="H40" s="24"/>
      <c r="I40" s="40"/>
      <c r="J40" s="40"/>
      <c r="K40" s="40"/>
      <c r="L40" s="43"/>
      <c r="M40" s="40"/>
      <c r="N40" s="40"/>
      <c r="O40" s="40"/>
      <c r="P40" s="40"/>
      <c r="Q40" s="41"/>
      <c r="R40" s="40"/>
      <c r="S40" s="40"/>
      <c r="T40" s="40"/>
      <c r="U40" s="40"/>
      <c r="V40" s="40"/>
      <c r="W40" s="40"/>
      <c r="X40" s="40"/>
      <c r="Y40" s="40"/>
      <c r="Z40" s="51"/>
      <c r="AA40" s="40"/>
      <c r="AB40" s="40"/>
      <c r="AC40" s="41"/>
      <c r="AD40" s="40"/>
      <c r="AE40" s="23"/>
      <c r="AF40" s="40"/>
      <c r="AG40" s="40"/>
      <c r="AH40" s="40"/>
      <c r="AI40" s="40"/>
      <c r="AJ40" s="40"/>
      <c r="AK40" s="50"/>
      <c r="AL40" s="40"/>
      <c r="AM40" s="40"/>
      <c r="AN40" s="40"/>
      <c r="AO40" s="61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61"/>
      <c r="BB40" s="40"/>
      <c r="BC40" s="40"/>
      <c r="BD40" s="82"/>
      <c r="BE40" s="40"/>
      <c r="BF40" s="40"/>
      <c r="BG40" s="40"/>
      <c r="BH40" s="40"/>
      <c r="BI40" s="40"/>
      <c r="BJ40" s="40"/>
      <c r="BK40" s="40"/>
      <c r="BL40" s="40"/>
      <c r="BM40" s="86">
        <v>0</v>
      </c>
      <c r="BN40" s="87">
        <v>0</v>
      </c>
      <c r="BO40" s="23"/>
      <c r="BP40" s="82"/>
      <c r="BQ40" s="40"/>
      <c r="BR40" s="40"/>
      <c r="BS40" s="40"/>
      <c r="BT40" s="82"/>
      <c r="BU40" s="40"/>
      <c r="BV40" s="40"/>
      <c r="BW40" s="40"/>
      <c r="BX40" s="40"/>
      <c r="BY40" s="58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61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61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</row>
    <row r="41" spans="2:112" x14ac:dyDescent="0.25">
      <c r="B41" s="84" t="s">
        <v>80</v>
      </c>
      <c r="C41" s="31"/>
      <c r="D41" s="23"/>
      <c r="E41" s="25"/>
      <c r="F41" s="24"/>
      <c r="G41" s="24"/>
      <c r="H41" s="24"/>
      <c r="I41" s="40"/>
      <c r="J41" s="40"/>
      <c r="K41" s="40"/>
      <c r="L41" s="43"/>
      <c r="M41" s="40"/>
      <c r="N41" s="40"/>
      <c r="O41" s="40"/>
      <c r="P41" s="40"/>
      <c r="Q41" s="41"/>
      <c r="R41" s="40"/>
      <c r="S41" s="40"/>
      <c r="T41" s="40"/>
      <c r="U41" s="40"/>
      <c r="V41" s="40"/>
      <c r="W41" s="40"/>
      <c r="X41" s="40"/>
      <c r="Y41" s="40"/>
      <c r="Z41" s="51"/>
      <c r="AA41" s="40"/>
      <c r="AB41" s="40"/>
      <c r="AC41" s="41"/>
      <c r="AD41" s="40"/>
      <c r="AE41" s="23"/>
      <c r="AF41" s="40"/>
      <c r="AG41" s="40"/>
      <c r="AH41" s="40"/>
      <c r="AI41" s="40"/>
      <c r="AJ41" s="40"/>
      <c r="AK41" s="50"/>
      <c r="AL41" s="40"/>
      <c r="AM41" s="40"/>
      <c r="AN41" s="40"/>
      <c r="AO41" s="61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61"/>
      <c r="BB41" s="40"/>
      <c r="BC41" s="40"/>
      <c r="BD41" s="82"/>
      <c r="BE41" s="40"/>
      <c r="BF41" s="40"/>
      <c r="BG41" s="40"/>
      <c r="BH41" s="40"/>
      <c r="BI41" s="40"/>
      <c r="BJ41" s="40"/>
      <c r="BK41" s="40"/>
      <c r="BL41" s="40"/>
      <c r="BM41" s="86">
        <v>0</v>
      </c>
      <c r="BN41" s="87">
        <v>-265.85000000000002</v>
      </c>
      <c r="BO41" s="23"/>
      <c r="BP41" s="82"/>
      <c r="BQ41" s="40"/>
      <c r="BR41" s="40"/>
      <c r="BS41" s="40"/>
      <c r="BT41" s="82"/>
      <c r="BU41" s="40"/>
      <c r="BV41" s="40"/>
      <c r="BW41" s="40"/>
      <c r="BX41" s="40"/>
      <c r="BY41" s="58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61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61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</row>
    <row r="42" spans="2:112" x14ac:dyDescent="0.25">
      <c r="B42" s="84" t="s">
        <v>81</v>
      </c>
      <c r="C42" s="31"/>
      <c r="D42" s="23"/>
      <c r="E42" s="25"/>
      <c r="F42" s="24"/>
      <c r="G42" s="24"/>
      <c r="H42" s="24"/>
      <c r="I42" s="40"/>
      <c r="J42" s="40"/>
      <c r="K42" s="40"/>
      <c r="L42" s="43"/>
      <c r="M42" s="40"/>
      <c r="N42" s="40"/>
      <c r="O42" s="40"/>
      <c r="P42" s="40"/>
      <c r="Q42" s="41"/>
      <c r="R42" s="40"/>
      <c r="S42" s="40"/>
      <c r="T42" s="40"/>
      <c r="U42" s="40"/>
      <c r="V42" s="40"/>
      <c r="W42" s="40"/>
      <c r="X42" s="40"/>
      <c r="Y42" s="40"/>
      <c r="Z42" s="51">
        <v>-500</v>
      </c>
      <c r="AA42" s="40">
        <f>Z42-3000</f>
        <v>-3500</v>
      </c>
      <c r="AB42" s="40">
        <f>AA42+3000</f>
        <v>-500</v>
      </c>
      <c r="AC42" s="41">
        <f t="shared" ref="AC42" si="516">AB42</f>
        <v>-500</v>
      </c>
      <c r="AD42" s="40">
        <f t="shared" ref="AD42" si="517">AC42</f>
        <v>-500</v>
      </c>
      <c r="AE42" s="40">
        <f t="shared" ref="AE42" si="518">AD42</f>
        <v>-500</v>
      </c>
      <c r="AF42" s="40">
        <f t="shared" ref="AF42" si="519">AE42</f>
        <v>-500</v>
      </c>
      <c r="AG42" s="40">
        <f t="shared" ref="AG42" si="520">AF42</f>
        <v>-500</v>
      </c>
      <c r="AH42" s="40">
        <f t="shared" ref="AH42" si="521">AG42</f>
        <v>-500</v>
      </c>
      <c r="AI42" s="40">
        <f>AH42</f>
        <v>-500</v>
      </c>
      <c r="AJ42" s="40">
        <f>AI42</f>
        <v>-500</v>
      </c>
      <c r="AK42" s="40">
        <f t="shared" ref="AK42" si="522">AJ42</f>
        <v>-500</v>
      </c>
      <c r="AL42" s="40">
        <f t="shared" ref="AL42" si="523">AK42</f>
        <v>-500</v>
      </c>
      <c r="AM42" s="40">
        <f t="shared" ref="AM42" si="524">AL42</f>
        <v>-500</v>
      </c>
      <c r="AN42" s="40">
        <f t="shared" ref="AN42:BL42" si="525">AM42</f>
        <v>-500</v>
      </c>
      <c r="AO42" s="61">
        <f t="shared" si="525"/>
        <v>-500</v>
      </c>
      <c r="AP42" s="40">
        <f t="shared" si="525"/>
        <v>-500</v>
      </c>
      <c r="AQ42" s="40">
        <f t="shared" si="525"/>
        <v>-500</v>
      </c>
      <c r="AR42" s="40">
        <f t="shared" si="525"/>
        <v>-500</v>
      </c>
      <c r="AS42" s="40">
        <f t="shared" si="525"/>
        <v>-500</v>
      </c>
      <c r="AT42" s="40">
        <f t="shared" si="525"/>
        <v>-500</v>
      </c>
      <c r="AU42" s="40">
        <f t="shared" si="525"/>
        <v>-500</v>
      </c>
      <c r="AV42" s="40">
        <f t="shared" si="525"/>
        <v>-500</v>
      </c>
      <c r="AW42" s="40">
        <f t="shared" si="525"/>
        <v>-500</v>
      </c>
      <c r="AX42" s="40">
        <f t="shared" si="525"/>
        <v>-500</v>
      </c>
      <c r="AY42" s="40">
        <f t="shared" si="525"/>
        <v>-500</v>
      </c>
      <c r="AZ42" s="40">
        <f t="shared" si="525"/>
        <v>-500</v>
      </c>
      <c r="BA42" s="61">
        <f t="shared" si="525"/>
        <v>-500</v>
      </c>
      <c r="BB42" s="40">
        <f t="shared" si="525"/>
        <v>-500</v>
      </c>
      <c r="BC42" s="40">
        <f t="shared" si="525"/>
        <v>-500</v>
      </c>
      <c r="BD42" s="40">
        <f t="shared" si="525"/>
        <v>-500</v>
      </c>
      <c r="BE42" s="40">
        <f t="shared" si="525"/>
        <v>-500</v>
      </c>
      <c r="BF42" s="40">
        <f t="shared" si="525"/>
        <v>-500</v>
      </c>
      <c r="BG42" s="40">
        <f t="shared" si="525"/>
        <v>-500</v>
      </c>
      <c r="BH42" s="40">
        <f t="shared" si="525"/>
        <v>-500</v>
      </c>
      <c r="BI42" s="40">
        <f t="shared" si="525"/>
        <v>-500</v>
      </c>
      <c r="BJ42" s="40">
        <f t="shared" si="525"/>
        <v>-500</v>
      </c>
      <c r="BK42" s="40">
        <f t="shared" si="525"/>
        <v>-500</v>
      </c>
      <c r="BL42" s="40">
        <f t="shared" si="525"/>
        <v>-500</v>
      </c>
      <c r="BM42" s="86">
        <v>-86.070000000000007</v>
      </c>
      <c r="BN42" s="87">
        <v>-38.370000000000005</v>
      </c>
      <c r="BO42" s="23">
        <v>-500</v>
      </c>
      <c r="BP42" s="40">
        <f t="shared" ref="BP42:CV42" si="526">BO42</f>
        <v>-500</v>
      </c>
      <c r="BQ42" s="40">
        <f t="shared" si="526"/>
        <v>-500</v>
      </c>
      <c r="BR42" s="40">
        <f t="shared" si="526"/>
        <v>-500</v>
      </c>
      <c r="BS42" s="40">
        <f t="shared" si="526"/>
        <v>-500</v>
      </c>
      <c r="BT42" s="40">
        <f t="shared" si="526"/>
        <v>-500</v>
      </c>
      <c r="BU42" s="40">
        <f t="shared" si="526"/>
        <v>-500</v>
      </c>
      <c r="BV42" s="40">
        <f t="shared" si="526"/>
        <v>-500</v>
      </c>
      <c r="BW42" s="40">
        <f t="shared" si="526"/>
        <v>-500</v>
      </c>
      <c r="BX42" s="40">
        <f t="shared" si="526"/>
        <v>-500</v>
      </c>
      <c r="BY42" s="61">
        <f t="shared" si="526"/>
        <v>-500</v>
      </c>
      <c r="BZ42" s="40">
        <f t="shared" si="526"/>
        <v>-500</v>
      </c>
      <c r="CA42" s="40">
        <f t="shared" si="526"/>
        <v>-500</v>
      </c>
      <c r="CB42" s="40">
        <f t="shared" si="526"/>
        <v>-500</v>
      </c>
      <c r="CC42" s="40">
        <f t="shared" si="526"/>
        <v>-500</v>
      </c>
      <c r="CD42" s="40">
        <f t="shared" si="526"/>
        <v>-500</v>
      </c>
      <c r="CE42" s="40">
        <f t="shared" si="526"/>
        <v>-500</v>
      </c>
      <c r="CF42" s="40">
        <f t="shared" si="526"/>
        <v>-500</v>
      </c>
      <c r="CG42" s="40">
        <f t="shared" si="526"/>
        <v>-500</v>
      </c>
      <c r="CH42" s="40">
        <f t="shared" si="526"/>
        <v>-500</v>
      </c>
      <c r="CI42" s="40">
        <f t="shared" si="526"/>
        <v>-500</v>
      </c>
      <c r="CJ42" s="40">
        <f t="shared" si="526"/>
        <v>-500</v>
      </c>
      <c r="CK42" s="61">
        <f t="shared" si="526"/>
        <v>-500</v>
      </c>
      <c r="CL42" s="40">
        <f t="shared" si="526"/>
        <v>-500</v>
      </c>
      <c r="CM42" s="40">
        <f t="shared" si="526"/>
        <v>-500</v>
      </c>
      <c r="CN42" s="40">
        <f t="shared" si="526"/>
        <v>-500</v>
      </c>
      <c r="CO42" s="40">
        <f t="shared" si="526"/>
        <v>-500</v>
      </c>
      <c r="CP42" s="40">
        <f t="shared" si="526"/>
        <v>-500</v>
      </c>
      <c r="CQ42" s="40">
        <f t="shared" si="526"/>
        <v>-500</v>
      </c>
      <c r="CR42" s="40">
        <f t="shared" si="526"/>
        <v>-500</v>
      </c>
      <c r="CS42" s="40">
        <f t="shared" si="526"/>
        <v>-500</v>
      </c>
      <c r="CT42" s="40">
        <f t="shared" si="526"/>
        <v>-500</v>
      </c>
      <c r="CU42" s="40">
        <f t="shared" si="526"/>
        <v>-500</v>
      </c>
      <c r="CV42" s="40">
        <f t="shared" si="526"/>
        <v>-500</v>
      </c>
      <c r="CW42" s="61">
        <f t="shared" ref="CW42" si="527">CV42</f>
        <v>-500</v>
      </c>
      <c r="CX42" s="40">
        <f t="shared" ref="CX42" si="528">CW42</f>
        <v>-500</v>
      </c>
      <c r="CY42" s="40">
        <f t="shared" ref="CY42" si="529">CX42</f>
        <v>-500</v>
      </c>
      <c r="CZ42" s="40">
        <f t="shared" ref="CZ42" si="530">CY42</f>
        <v>-500</v>
      </c>
      <c r="DA42" s="40">
        <f t="shared" ref="DA42" si="531">CZ42</f>
        <v>-500</v>
      </c>
      <c r="DB42" s="40">
        <f t="shared" ref="DB42" si="532">DA42</f>
        <v>-500</v>
      </c>
      <c r="DC42" s="40">
        <f t="shared" ref="DC42" si="533">DB42</f>
        <v>-500</v>
      </c>
      <c r="DD42" s="40">
        <f t="shared" ref="DD42" si="534">DC42</f>
        <v>-500</v>
      </c>
      <c r="DE42" s="40">
        <f t="shared" ref="DE42" si="535">DD42</f>
        <v>-500</v>
      </c>
      <c r="DF42" s="40">
        <f t="shared" ref="DF42" si="536">DE42</f>
        <v>-500</v>
      </c>
      <c r="DG42" s="40">
        <f t="shared" ref="DG42" si="537">DF42</f>
        <v>-500</v>
      </c>
      <c r="DH42" s="40">
        <f t="shared" ref="DH42" si="538">DG42</f>
        <v>-500</v>
      </c>
    </row>
    <row r="43" spans="2:112" x14ac:dyDescent="0.25">
      <c r="B43" s="84" t="s">
        <v>82</v>
      </c>
      <c r="C43" s="31"/>
      <c r="D43" s="23"/>
      <c r="E43" s="25"/>
      <c r="F43" s="24"/>
      <c r="G43" s="24"/>
      <c r="H43" s="24"/>
      <c r="I43" s="40"/>
      <c r="J43" s="40"/>
      <c r="K43" s="40"/>
      <c r="L43" s="43"/>
      <c r="M43" s="40"/>
      <c r="N43" s="40"/>
      <c r="O43" s="40"/>
      <c r="P43" s="40"/>
      <c r="Q43" s="41"/>
      <c r="R43" s="40"/>
      <c r="S43" s="40"/>
      <c r="T43" s="40"/>
      <c r="U43" s="40"/>
      <c r="V43" s="40"/>
      <c r="W43" s="40"/>
      <c r="X43" s="40"/>
      <c r="Y43" s="40"/>
      <c r="Z43" s="51"/>
      <c r="AA43" s="40"/>
      <c r="AB43" s="40"/>
      <c r="AC43" s="41"/>
      <c r="AD43" s="40"/>
      <c r="AE43" s="23"/>
      <c r="AF43" s="40"/>
      <c r="AG43" s="40"/>
      <c r="AH43" s="40"/>
      <c r="AI43" s="40"/>
      <c r="AJ43" s="40"/>
      <c r="AK43" s="50"/>
      <c r="AL43" s="40"/>
      <c r="AM43" s="40"/>
      <c r="AN43" s="40"/>
      <c r="AO43" s="61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61"/>
      <c r="BB43" s="40"/>
      <c r="BC43" s="40"/>
      <c r="BD43" s="82"/>
      <c r="BE43" s="40"/>
      <c r="BF43" s="40"/>
      <c r="BG43" s="40"/>
      <c r="BH43" s="40"/>
      <c r="BI43" s="40"/>
      <c r="BJ43" s="40"/>
      <c r="BK43" s="40"/>
      <c r="BL43" s="40"/>
      <c r="BM43" s="86">
        <v>-66.52000000000001</v>
      </c>
      <c r="BN43" s="87">
        <v>-7.38</v>
      </c>
      <c r="BO43" s="23"/>
      <c r="BP43" s="82"/>
      <c r="BQ43" s="40"/>
      <c r="BR43" s="40"/>
      <c r="BS43" s="40"/>
      <c r="BT43" s="82"/>
      <c r="BU43" s="40"/>
      <c r="BV43" s="40"/>
      <c r="BW43" s="40"/>
      <c r="BX43" s="40"/>
      <c r="BY43" s="58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61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61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</row>
    <row r="44" spans="2:112" x14ac:dyDescent="0.25">
      <c r="B44" s="84" t="s">
        <v>83</v>
      </c>
      <c r="C44" s="31"/>
      <c r="D44" s="23">
        <v>-1500</v>
      </c>
      <c r="E44" s="25">
        <f t="shared" ref="E44" si="539">D44</f>
        <v>-1500</v>
      </c>
      <c r="F44" s="24">
        <f t="shared" ref="F44" si="540">D44</f>
        <v>-1500</v>
      </c>
      <c r="G44" s="24">
        <f>E44</f>
        <v>-1500</v>
      </c>
      <c r="H44" s="24">
        <f t="shared" ref="H44" si="541">F44</f>
        <v>-1500</v>
      </c>
      <c r="I44" s="40">
        <f t="shared" ref="I44" si="542">G44</f>
        <v>-1500</v>
      </c>
      <c r="J44" s="40">
        <f t="shared" ref="J44" si="543">H44</f>
        <v>-1500</v>
      </c>
      <c r="K44" s="40">
        <f t="shared" ref="K44" si="544">I44</f>
        <v>-1500</v>
      </c>
      <c r="L44" s="43">
        <v>-1500</v>
      </c>
      <c r="M44" s="40">
        <f t="shared" ref="M44:AB44" si="545">L44</f>
        <v>-1500</v>
      </c>
      <c r="N44" s="40">
        <f t="shared" si="545"/>
        <v>-1500</v>
      </c>
      <c r="O44" s="40">
        <f t="shared" si="545"/>
        <v>-1500</v>
      </c>
      <c r="P44" s="40">
        <f t="shared" si="545"/>
        <v>-1500</v>
      </c>
      <c r="Q44" s="41">
        <f t="shared" si="545"/>
        <v>-1500</v>
      </c>
      <c r="R44" s="40">
        <f t="shared" si="545"/>
        <v>-1500</v>
      </c>
      <c r="S44" s="40">
        <f t="shared" si="545"/>
        <v>-1500</v>
      </c>
      <c r="T44" s="40">
        <f t="shared" si="545"/>
        <v>-1500</v>
      </c>
      <c r="U44" s="40">
        <f t="shared" si="545"/>
        <v>-1500</v>
      </c>
      <c r="V44" s="40">
        <f t="shared" si="545"/>
        <v>-1500</v>
      </c>
      <c r="W44" s="40">
        <f t="shared" si="545"/>
        <v>-1500</v>
      </c>
      <c r="X44" s="40">
        <f t="shared" si="545"/>
        <v>-1500</v>
      </c>
      <c r="Y44" s="40">
        <f t="shared" si="545"/>
        <v>-1500</v>
      </c>
      <c r="Z44" s="50">
        <f t="shared" si="545"/>
        <v>-1500</v>
      </c>
      <c r="AA44" s="40">
        <f t="shared" si="545"/>
        <v>-1500</v>
      </c>
      <c r="AB44" s="40">
        <f t="shared" si="545"/>
        <v>-1500</v>
      </c>
      <c r="AC44" s="41">
        <f t="shared" ref="AC44" si="546">AB44</f>
        <v>-1500</v>
      </c>
      <c r="AD44" s="40"/>
      <c r="AE44" s="40"/>
      <c r="AF44" s="23">
        <v>-6000</v>
      </c>
      <c r="AG44" s="23">
        <v>-6000</v>
      </c>
      <c r="AH44" s="23">
        <v>-6000</v>
      </c>
      <c r="AI44" s="23">
        <v>-3000</v>
      </c>
      <c r="AJ44" s="23">
        <v>0</v>
      </c>
      <c r="AK44" s="23">
        <v>0</v>
      </c>
      <c r="AL44" s="23">
        <v>0</v>
      </c>
      <c r="AM44" s="23">
        <v>0</v>
      </c>
      <c r="AN44" s="23">
        <v>0</v>
      </c>
      <c r="AO44" s="70">
        <v>-1500</v>
      </c>
      <c r="AP44" s="40">
        <f t="shared" ref="AP44:BL44" si="547">AO44</f>
        <v>-1500</v>
      </c>
      <c r="AQ44" s="40">
        <f t="shared" si="547"/>
        <v>-1500</v>
      </c>
      <c r="AR44" s="40">
        <f t="shared" si="547"/>
        <v>-1500</v>
      </c>
      <c r="AS44" s="40">
        <f t="shared" si="547"/>
        <v>-1500</v>
      </c>
      <c r="AT44" s="40">
        <f t="shared" si="547"/>
        <v>-1500</v>
      </c>
      <c r="AU44" s="40">
        <f t="shared" si="547"/>
        <v>-1500</v>
      </c>
      <c r="AV44" s="40">
        <f t="shared" si="547"/>
        <v>-1500</v>
      </c>
      <c r="AW44" s="40">
        <f t="shared" si="547"/>
        <v>-1500</v>
      </c>
      <c r="AX44" s="40">
        <f t="shared" si="547"/>
        <v>-1500</v>
      </c>
      <c r="AY44" s="40">
        <f t="shared" si="547"/>
        <v>-1500</v>
      </c>
      <c r="AZ44" s="40">
        <f t="shared" si="547"/>
        <v>-1500</v>
      </c>
      <c r="BA44" s="61">
        <f t="shared" si="547"/>
        <v>-1500</v>
      </c>
      <c r="BB44" s="40">
        <f t="shared" si="547"/>
        <v>-1500</v>
      </c>
      <c r="BC44" s="40">
        <f t="shared" si="547"/>
        <v>-1500</v>
      </c>
      <c r="BD44" s="40">
        <f t="shared" si="547"/>
        <v>-1500</v>
      </c>
      <c r="BE44" s="40">
        <f t="shared" si="547"/>
        <v>-1500</v>
      </c>
      <c r="BF44" s="40">
        <f t="shared" si="547"/>
        <v>-1500</v>
      </c>
      <c r="BG44" s="40">
        <f t="shared" si="547"/>
        <v>-1500</v>
      </c>
      <c r="BH44" s="40">
        <f t="shared" si="547"/>
        <v>-1500</v>
      </c>
      <c r="BI44" s="40">
        <f t="shared" si="547"/>
        <v>-1500</v>
      </c>
      <c r="BJ44" s="40">
        <f t="shared" si="547"/>
        <v>-1500</v>
      </c>
      <c r="BK44" s="40">
        <f t="shared" si="547"/>
        <v>-1500</v>
      </c>
      <c r="BL44" s="40">
        <f t="shared" si="547"/>
        <v>-1500</v>
      </c>
      <c r="BM44" s="88">
        <v>-83.85</v>
      </c>
      <c r="BN44" s="87">
        <v>-50.32</v>
      </c>
      <c r="BO44" s="23">
        <v>-1500</v>
      </c>
      <c r="BP44" s="43">
        <v>-3500</v>
      </c>
      <c r="BQ44" s="43">
        <v>-3500</v>
      </c>
      <c r="BR44" s="43">
        <v>-3000</v>
      </c>
      <c r="BS44" s="43">
        <v>-3000</v>
      </c>
      <c r="BT44" s="43">
        <v>-3000</v>
      </c>
      <c r="BU44" s="23">
        <v>-1500</v>
      </c>
      <c r="BV44" s="40">
        <f t="shared" ref="BV44:BX44" si="548">BU44</f>
        <v>-1500</v>
      </c>
      <c r="BW44" s="40">
        <f t="shared" si="548"/>
        <v>-1500</v>
      </c>
      <c r="BX44" s="40">
        <f t="shared" si="548"/>
        <v>-1500</v>
      </c>
      <c r="BY44" s="58">
        <v>-2000</v>
      </c>
      <c r="BZ44" s="40"/>
      <c r="CA44" s="40"/>
      <c r="CB44" s="23">
        <v>-7000</v>
      </c>
      <c r="CC44" s="23"/>
      <c r="CD44" s="23">
        <v>-5000</v>
      </c>
      <c r="CE44" s="23">
        <v>-5000</v>
      </c>
      <c r="CF44" s="23">
        <v>-5000</v>
      </c>
      <c r="CG44" s="40"/>
      <c r="CH44" s="23">
        <v>-8000</v>
      </c>
      <c r="CI44" s="23"/>
      <c r="CJ44" s="23">
        <v>-5000</v>
      </c>
      <c r="CK44" s="58">
        <v>-2500</v>
      </c>
      <c r="CL44" s="40">
        <v>-2500</v>
      </c>
      <c r="CM44" s="40">
        <v>-2500</v>
      </c>
      <c r="CN44" s="40">
        <v>-2500</v>
      </c>
      <c r="CO44" s="40">
        <v>-2500</v>
      </c>
      <c r="CP44" s="40">
        <v>-2500</v>
      </c>
      <c r="CQ44" s="40">
        <v>-2500</v>
      </c>
      <c r="CR44" s="40">
        <v>-2500</v>
      </c>
      <c r="CS44" s="40">
        <v>-2500</v>
      </c>
      <c r="CT44" s="40">
        <v>-2500</v>
      </c>
      <c r="CU44" s="40">
        <v>-2500</v>
      </c>
      <c r="CV44" s="40">
        <v>-2500</v>
      </c>
      <c r="CW44" s="61">
        <v>-2500</v>
      </c>
      <c r="CX44" s="40">
        <v>-2500</v>
      </c>
      <c r="CY44" s="40">
        <v>-2500</v>
      </c>
      <c r="CZ44" s="40">
        <v>-2500</v>
      </c>
      <c r="DA44" s="40">
        <v>-2500</v>
      </c>
      <c r="DB44" s="40">
        <v>-2500</v>
      </c>
      <c r="DC44" s="40">
        <v>-2500</v>
      </c>
      <c r="DD44" s="40">
        <v>-2500</v>
      </c>
      <c r="DE44" s="40">
        <v>-2500</v>
      </c>
      <c r="DF44" s="40">
        <v>-2500</v>
      </c>
      <c r="DG44" s="40">
        <v>-2500</v>
      </c>
      <c r="DH44" s="40">
        <v>-2500</v>
      </c>
    </row>
    <row r="45" spans="2:112" x14ac:dyDescent="0.25">
      <c r="B45" s="84" t="s">
        <v>84</v>
      </c>
      <c r="C45" s="31"/>
      <c r="D45" s="23"/>
      <c r="E45" s="25"/>
      <c r="F45" s="24"/>
      <c r="G45" s="24"/>
      <c r="H45" s="24"/>
      <c r="I45" s="40"/>
      <c r="J45" s="40"/>
      <c r="K45" s="40"/>
      <c r="L45" s="43"/>
      <c r="M45" s="40"/>
      <c r="N45" s="40"/>
      <c r="O45" s="40"/>
      <c r="P45" s="40"/>
      <c r="Q45" s="41"/>
      <c r="R45" s="40"/>
      <c r="S45" s="40"/>
      <c r="T45" s="40"/>
      <c r="U45" s="40"/>
      <c r="V45" s="40"/>
      <c r="W45" s="40"/>
      <c r="X45" s="40"/>
      <c r="Y45" s="40"/>
      <c r="Z45" s="51"/>
      <c r="AA45" s="40"/>
      <c r="AB45" s="40"/>
      <c r="AC45" s="41"/>
      <c r="AD45" s="40"/>
      <c r="AE45" s="23"/>
      <c r="AF45" s="40"/>
      <c r="AG45" s="40"/>
      <c r="AH45" s="40"/>
      <c r="AI45" s="40"/>
      <c r="AJ45" s="40"/>
      <c r="AK45" s="50"/>
      <c r="AL45" s="40"/>
      <c r="AM45" s="40"/>
      <c r="AN45" s="40"/>
      <c r="AO45" s="61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61"/>
      <c r="BB45" s="40"/>
      <c r="BC45" s="40"/>
      <c r="BD45" s="82"/>
      <c r="BE45" s="40"/>
      <c r="BF45" s="40"/>
      <c r="BG45" s="40"/>
      <c r="BH45" s="40"/>
      <c r="BI45" s="40"/>
      <c r="BJ45" s="40"/>
      <c r="BK45" s="40"/>
      <c r="BL45" s="40"/>
      <c r="BM45" s="86">
        <v>-299.23</v>
      </c>
      <c r="BN45" s="87">
        <v>-53.31</v>
      </c>
      <c r="BO45" s="23"/>
      <c r="BP45" s="82"/>
      <c r="BQ45" s="40"/>
      <c r="BR45" s="40"/>
      <c r="BS45" s="40"/>
      <c r="BT45" s="82"/>
      <c r="BU45" s="40"/>
      <c r="BV45" s="40"/>
      <c r="BW45" s="40"/>
      <c r="BX45" s="40"/>
      <c r="BY45" s="58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61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61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</row>
    <row r="46" spans="2:112" x14ac:dyDescent="0.25">
      <c r="B46" s="84" t="s">
        <v>85</v>
      </c>
      <c r="C46" s="31"/>
      <c r="D46" s="23">
        <v>-1500</v>
      </c>
      <c r="E46" s="25">
        <f t="shared" ref="E46" si="549">D46</f>
        <v>-1500</v>
      </c>
      <c r="F46" s="24">
        <f t="shared" ref="F46" si="550">D46</f>
        <v>-1500</v>
      </c>
      <c r="G46" s="24">
        <f>E46</f>
        <v>-1500</v>
      </c>
      <c r="H46" s="24">
        <f t="shared" ref="H46" si="551">F46</f>
        <v>-1500</v>
      </c>
      <c r="I46" s="40">
        <f t="shared" ref="I46" si="552">G46</f>
        <v>-1500</v>
      </c>
      <c r="J46" s="40">
        <f t="shared" ref="J46" si="553">H46</f>
        <v>-1500</v>
      </c>
      <c r="K46" s="40">
        <f t="shared" ref="K46" si="554">I46</f>
        <v>-1500</v>
      </c>
      <c r="L46" s="43">
        <v>-750</v>
      </c>
      <c r="M46" s="40">
        <f t="shared" ref="M46:AC46" si="555">L46</f>
        <v>-750</v>
      </c>
      <c r="N46" s="40">
        <f t="shared" si="555"/>
        <v>-750</v>
      </c>
      <c r="O46" s="40">
        <f t="shared" si="555"/>
        <v>-750</v>
      </c>
      <c r="P46" s="40">
        <f t="shared" si="555"/>
        <v>-750</v>
      </c>
      <c r="Q46" s="41">
        <f t="shared" si="555"/>
        <v>-750</v>
      </c>
      <c r="R46" s="40">
        <f t="shared" si="555"/>
        <v>-750</v>
      </c>
      <c r="S46" s="40">
        <f t="shared" si="555"/>
        <v>-750</v>
      </c>
      <c r="T46" s="40">
        <f t="shared" si="555"/>
        <v>-750</v>
      </c>
      <c r="U46" s="40">
        <f t="shared" si="555"/>
        <v>-750</v>
      </c>
      <c r="V46" s="40">
        <f t="shared" si="555"/>
        <v>-750</v>
      </c>
      <c r="W46" s="40">
        <f t="shared" si="555"/>
        <v>-750</v>
      </c>
      <c r="X46" s="40">
        <f t="shared" si="555"/>
        <v>-750</v>
      </c>
      <c r="Y46" s="40">
        <f t="shared" si="555"/>
        <v>-750</v>
      </c>
      <c r="Z46" s="50">
        <f t="shared" si="555"/>
        <v>-750</v>
      </c>
      <c r="AA46" s="40">
        <f t="shared" si="555"/>
        <v>-750</v>
      </c>
      <c r="AB46" s="40">
        <f t="shared" si="555"/>
        <v>-750</v>
      </c>
      <c r="AC46" s="41">
        <f t="shared" si="555"/>
        <v>-750</v>
      </c>
      <c r="AD46" s="40">
        <f t="shared" ref="AD46" si="556">AC46</f>
        <v>-750</v>
      </c>
      <c r="AE46" s="40">
        <f t="shared" ref="AE46" si="557">AD46</f>
        <v>-750</v>
      </c>
      <c r="AF46" s="40">
        <f t="shared" ref="AF46" si="558">AE46</f>
        <v>-750</v>
      </c>
      <c r="AG46" s="40">
        <f>AF46</f>
        <v>-750</v>
      </c>
      <c r="AH46" s="40">
        <f>AG46</f>
        <v>-750</v>
      </c>
      <c r="AI46" s="40">
        <f>AH46</f>
        <v>-750</v>
      </c>
      <c r="AJ46" s="43">
        <v>-1000</v>
      </c>
      <c r="AK46" s="40">
        <f>AJ46</f>
        <v>-1000</v>
      </c>
      <c r="AL46" s="40">
        <f t="shared" ref="AL46" si="559">AK46</f>
        <v>-1000</v>
      </c>
      <c r="AM46" s="40">
        <f t="shared" ref="AM46:AY46" si="560">AL46</f>
        <v>-1000</v>
      </c>
      <c r="AN46" s="40">
        <f t="shared" si="560"/>
        <v>-1000</v>
      </c>
      <c r="AO46" s="61">
        <f t="shared" si="560"/>
        <v>-1000</v>
      </c>
      <c r="AP46" s="40">
        <f t="shared" si="560"/>
        <v>-1000</v>
      </c>
      <c r="AQ46" s="40">
        <f t="shared" si="560"/>
        <v>-1000</v>
      </c>
      <c r="AR46" s="40">
        <f t="shared" si="560"/>
        <v>-1000</v>
      </c>
      <c r="AS46" s="40">
        <f t="shared" si="560"/>
        <v>-1000</v>
      </c>
      <c r="AT46" s="40">
        <f t="shared" si="560"/>
        <v>-1000</v>
      </c>
      <c r="AU46" s="40">
        <f t="shared" si="560"/>
        <v>-1000</v>
      </c>
      <c r="AV46" s="40">
        <f t="shared" si="560"/>
        <v>-1000</v>
      </c>
      <c r="AW46" s="40">
        <f t="shared" si="560"/>
        <v>-1000</v>
      </c>
      <c r="AX46" s="40">
        <f t="shared" si="560"/>
        <v>-1000</v>
      </c>
      <c r="AY46" s="40">
        <f t="shared" si="560"/>
        <v>-1000</v>
      </c>
      <c r="AZ46" s="40">
        <f t="shared" ref="AZ46:BA46" si="561">AY46</f>
        <v>-1000</v>
      </c>
      <c r="BA46" s="61">
        <f t="shared" si="561"/>
        <v>-1000</v>
      </c>
      <c r="BB46" s="40">
        <f t="shared" ref="BB46:BL46" si="562">BA46</f>
        <v>-1000</v>
      </c>
      <c r="BC46" s="40">
        <f t="shared" si="562"/>
        <v>-1000</v>
      </c>
      <c r="BD46" s="40">
        <f t="shared" si="562"/>
        <v>-1000</v>
      </c>
      <c r="BE46" s="40">
        <f t="shared" si="562"/>
        <v>-1000</v>
      </c>
      <c r="BF46" s="40">
        <f t="shared" si="562"/>
        <v>-1000</v>
      </c>
      <c r="BG46" s="40">
        <f t="shared" si="562"/>
        <v>-1000</v>
      </c>
      <c r="BH46" s="40">
        <f t="shared" si="562"/>
        <v>-1000</v>
      </c>
      <c r="BI46" s="40">
        <f t="shared" si="562"/>
        <v>-1000</v>
      </c>
      <c r="BJ46" s="40">
        <f t="shared" si="562"/>
        <v>-1000</v>
      </c>
      <c r="BK46" s="40">
        <f t="shared" si="562"/>
        <v>-1000</v>
      </c>
      <c r="BL46" s="40">
        <f t="shared" si="562"/>
        <v>-1000</v>
      </c>
      <c r="BM46" s="88">
        <v>-181.82999999999998</v>
      </c>
      <c r="BN46" s="87">
        <v>-24.9</v>
      </c>
      <c r="BO46" s="23">
        <v>-2000</v>
      </c>
      <c r="BP46" s="40">
        <f t="shared" ref="BP46:CV46" si="563">BO46</f>
        <v>-2000</v>
      </c>
      <c r="BQ46" s="40">
        <f t="shared" si="563"/>
        <v>-2000</v>
      </c>
      <c r="BR46" s="40">
        <f t="shared" si="563"/>
        <v>-2000</v>
      </c>
      <c r="BS46" s="40">
        <f t="shared" si="563"/>
        <v>-2000</v>
      </c>
      <c r="BT46" s="40">
        <f t="shared" si="563"/>
        <v>-2000</v>
      </c>
      <c r="BU46" s="40">
        <f t="shared" si="563"/>
        <v>-2000</v>
      </c>
      <c r="BV46" s="40">
        <f t="shared" si="563"/>
        <v>-2000</v>
      </c>
      <c r="BW46" s="40">
        <f t="shared" si="563"/>
        <v>-2000</v>
      </c>
      <c r="BX46" s="40">
        <f t="shared" si="563"/>
        <v>-2000</v>
      </c>
      <c r="BY46" s="58">
        <v>-2000</v>
      </c>
      <c r="BZ46" s="40">
        <f t="shared" si="563"/>
        <v>-2000</v>
      </c>
      <c r="CA46" s="40">
        <f t="shared" si="563"/>
        <v>-2000</v>
      </c>
      <c r="CB46" s="40">
        <f t="shared" si="563"/>
        <v>-2000</v>
      </c>
      <c r="CC46" s="40">
        <f t="shared" si="563"/>
        <v>-2000</v>
      </c>
      <c r="CD46" s="40">
        <f t="shared" si="563"/>
        <v>-2000</v>
      </c>
      <c r="CE46" s="40">
        <f t="shared" si="563"/>
        <v>-2000</v>
      </c>
      <c r="CF46" s="40">
        <f t="shared" si="563"/>
        <v>-2000</v>
      </c>
      <c r="CG46" s="23">
        <v>-2000</v>
      </c>
      <c r="CH46" s="40">
        <f t="shared" si="563"/>
        <v>-2000</v>
      </c>
      <c r="CI46" s="40">
        <f t="shared" si="563"/>
        <v>-2000</v>
      </c>
      <c r="CJ46" s="40">
        <f t="shared" si="563"/>
        <v>-2000</v>
      </c>
      <c r="CK46" s="61">
        <f t="shared" si="563"/>
        <v>-2000</v>
      </c>
      <c r="CL46" s="40">
        <f t="shared" si="563"/>
        <v>-2000</v>
      </c>
      <c r="CM46" s="40">
        <f t="shared" si="563"/>
        <v>-2000</v>
      </c>
      <c r="CN46" s="40">
        <f t="shared" si="563"/>
        <v>-2000</v>
      </c>
      <c r="CO46" s="40">
        <f t="shared" si="563"/>
        <v>-2000</v>
      </c>
      <c r="CP46" s="40">
        <f t="shared" si="563"/>
        <v>-2000</v>
      </c>
      <c r="CQ46" s="40">
        <f t="shared" si="563"/>
        <v>-2000</v>
      </c>
      <c r="CR46" s="40">
        <f t="shared" si="563"/>
        <v>-2000</v>
      </c>
      <c r="CS46" s="40">
        <f t="shared" si="563"/>
        <v>-2000</v>
      </c>
      <c r="CT46" s="40">
        <f t="shared" si="563"/>
        <v>-2000</v>
      </c>
      <c r="CU46" s="40">
        <f t="shared" si="563"/>
        <v>-2000</v>
      </c>
      <c r="CV46" s="40">
        <f t="shared" si="563"/>
        <v>-2000</v>
      </c>
      <c r="CW46" s="61">
        <f t="shared" ref="CW46:CW47" si="564">CV46</f>
        <v>-2000</v>
      </c>
      <c r="CX46" s="40">
        <f t="shared" ref="CX46:CX47" si="565">CW46</f>
        <v>-2000</v>
      </c>
      <c r="CY46" s="40">
        <f t="shared" ref="CY46:CY47" si="566">CX46</f>
        <v>-2000</v>
      </c>
      <c r="CZ46" s="40">
        <f t="shared" ref="CZ46:CZ47" si="567">CY46</f>
        <v>-2000</v>
      </c>
      <c r="DA46" s="40">
        <f t="shared" ref="DA46:DA47" si="568">CZ46</f>
        <v>-2000</v>
      </c>
      <c r="DB46" s="40">
        <f t="shared" ref="DB46:DB47" si="569">DA46</f>
        <v>-2000</v>
      </c>
      <c r="DC46" s="40">
        <f t="shared" ref="DC46:DC47" si="570">DB46</f>
        <v>-2000</v>
      </c>
      <c r="DD46" s="40">
        <f t="shared" ref="DD46:DD47" si="571">DC46</f>
        <v>-2000</v>
      </c>
      <c r="DE46" s="40">
        <f t="shared" ref="DE46:DE47" si="572">DD46</f>
        <v>-2000</v>
      </c>
      <c r="DF46" s="40">
        <f t="shared" ref="DF46:DF47" si="573">DE46</f>
        <v>-2000</v>
      </c>
      <c r="DG46" s="40">
        <f t="shared" ref="DG46:DG47" si="574">DF46</f>
        <v>-2000</v>
      </c>
      <c r="DH46" s="40">
        <f t="shared" ref="DH46:DH47" si="575">DG46</f>
        <v>-2000</v>
      </c>
    </row>
    <row r="47" spans="2:112" x14ac:dyDescent="0.25">
      <c r="B47" s="84" t="s">
        <v>86</v>
      </c>
      <c r="C47" s="31"/>
      <c r="D47" s="23">
        <v>-1500</v>
      </c>
      <c r="E47" s="25">
        <f t="shared" ref="E47" si="576">D47</f>
        <v>-1500</v>
      </c>
      <c r="F47" s="24">
        <f t="shared" ref="F47" si="577">D47</f>
        <v>-1500</v>
      </c>
      <c r="G47" s="24">
        <f t="shared" ref="G47" si="578">E47</f>
        <v>-1500</v>
      </c>
      <c r="H47" s="24">
        <f t="shared" ref="H47" si="579">F47</f>
        <v>-1500</v>
      </c>
      <c r="I47" s="40">
        <f t="shared" ref="I47" si="580">G47</f>
        <v>-1500</v>
      </c>
      <c r="J47" s="40">
        <f t="shared" ref="J47" si="581">H47</f>
        <v>-1500</v>
      </c>
      <c r="K47" s="40">
        <f t="shared" ref="K47" si="582">I47</f>
        <v>-1500</v>
      </c>
      <c r="L47" s="43">
        <v>-750</v>
      </c>
      <c r="M47" s="40">
        <f t="shared" ref="M47:AB47" si="583">L47</f>
        <v>-750</v>
      </c>
      <c r="N47" s="40">
        <f t="shared" si="583"/>
        <v>-750</v>
      </c>
      <c r="O47" s="40">
        <f t="shared" si="583"/>
        <v>-750</v>
      </c>
      <c r="P47" s="40">
        <f t="shared" si="583"/>
        <v>-750</v>
      </c>
      <c r="Q47" s="41">
        <f t="shared" si="583"/>
        <v>-750</v>
      </c>
      <c r="R47" s="40">
        <f t="shared" si="583"/>
        <v>-750</v>
      </c>
      <c r="S47" s="40">
        <f t="shared" si="583"/>
        <v>-750</v>
      </c>
      <c r="T47" s="40">
        <f t="shared" si="583"/>
        <v>-750</v>
      </c>
      <c r="U47" s="40">
        <f t="shared" si="583"/>
        <v>-750</v>
      </c>
      <c r="V47" s="40">
        <f t="shared" si="583"/>
        <v>-750</v>
      </c>
      <c r="W47" s="40">
        <f t="shared" si="583"/>
        <v>-750</v>
      </c>
      <c r="X47" s="40">
        <f t="shared" si="583"/>
        <v>-750</v>
      </c>
      <c r="Y47" s="40">
        <f t="shared" si="583"/>
        <v>-750</v>
      </c>
      <c r="Z47" s="50">
        <f t="shared" si="583"/>
        <v>-750</v>
      </c>
      <c r="AA47" s="40">
        <f t="shared" si="583"/>
        <v>-750</v>
      </c>
      <c r="AB47" s="40">
        <f t="shared" si="583"/>
        <v>-750</v>
      </c>
      <c r="AC47" s="41"/>
      <c r="AD47" s="40">
        <v>-750</v>
      </c>
      <c r="AE47" s="40">
        <f t="shared" ref="AE47" si="584">AD47</f>
        <v>-750</v>
      </c>
      <c r="AF47" s="40">
        <f t="shared" ref="AF47:AG47" si="585">AE47</f>
        <v>-750</v>
      </c>
      <c r="AG47" s="40">
        <f t="shared" si="585"/>
        <v>-750</v>
      </c>
      <c r="AH47" s="40">
        <f t="shared" ref="AH47" si="586">AG47</f>
        <v>-750</v>
      </c>
      <c r="AI47" s="40">
        <f t="shared" ref="AI47" si="587">AH47</f>
        <v>-750</v>
      </c>
      <c r="AJ47" s="40">
        <f t="shared" ref="AJ47" si="588">AI47</f>
        <v>-750</v>
      </c>
      <c r="AK47" s="40">
        <f t="shared" ref="AK47" si="589">AJ47</f>
        <v>-750</v>
      </c>
      <c r="AL47" s="43">
        <v>-1000</v>
      </c>
      <c r="AM47" s="40">
        <f t="shared" ref="AM47" si="590">AL47</f>
        <v>-1000</v>
      </c>
      <c r="AN47" s="40">
        <f t="shared" ref="AN47:BA47" si="591">AM47</f>
        <v>-1000</v>
      </c>
      <c r="AO47" s="61">
        <f t="shared" si="591"/>
        <v>-1000</v>
      </c>
      <c r="AP47" s="40">
        <f t="shared" si="591"/>
        <v>-1000</v>
      </c>
      <c r="AQ47" s="40">
        <f t="shared" si="591"/>
        <v>-1000</v>
      </c>
      <c r="AR47" s="40">
        <f t="shared" si="591"/>
        <v>-1000</v>
      </c>
      <c r="AS47" s="40">
        <f t="shared" si="591"/>
        <v>-1000</v>
      </c>
      <c r="AT47" s="40">
        <f t="shared" si="591"/>
        <v>-1000</v>
      </c>
      <c r="AU47" s="40">
        <f t="shared" si="591"/>
        <v>-1000</v>
      </c>
      <c r="AV47" s="40">
        <f t="shared" si="591"/>
        <v>-1000</v>
      </c>
      <c r="AW47" s="40">
        <f t="shared" si="591"/>
        <v>-1000</v>
      </c>
      <c r="AX47" s="40">
        <f t="shared" si="591"/>
        <v>-1000</v>
      </c>
      <c r="AY47" s="40">
        <f t="shared" si="591"/>
        <v>-1000</v>
      </c>
      <c r="AZ47" s="40">
        <f t="shared" si="591"/>
        <v>-1000</v>
      </c>
      <c r="BA47" s="61">
        <f t="shared" si="591"/>
        <v>-1000</v>
      </c>
      <c r="BB47" s="40">
        <f t="shared" ref="BB47:BL47" si="592">BA47</f>
        <v>-1000</v>
      </c>
      <c r="BC47" s="40">
        <f t="shared" si="592"/>
        <v>-1000</v>
      </c>
      <c r="BD47" s="40">
        <f t="shared" si="592"/>
        <v>-1000</v>
      </c>
      <c r="BE47" s="40">
        <f t="shared" si="592"/>
        <v>-1000</v>
      </c>
      <c r="BF47" s="40">
        <f t="shared" si="592"/>
        <v>-1000</v>
      </c>
      <c r="BG47" s="40">
        <f t="shared" si="592"/>
        <v>-1000</v>
      </c>
      <c r="BH47" s="40">
        <f t="shared" si="592"/>
        <v>-1000</v>
      </c>
      <c r="BI47" s="40">
        <f t="shared" si="592"/>
        <v>-1000</v>
      </c>
      <c r="BJ47" s="40">
        <f t="shared" si="592"/>
        <v>-1000</v>
      </c>
      <c r="BK47" s="40">
        <f t="shared" si="592"/>
        <v>-1000</v>
      </c>
      <c r="BL47" s="40">
        <f t="shared" si="592"/>
        <v>-1000</v>
      </c>
      <c r="BM47" s="88">
        <v>-671.04</v>
      </c>
      <c r="BN47" s="87">
        <v>-252.27</v>
      </c>
      <c r="BO47" s="23">
        <v>-2000</v>
      </c>
      <c r="BP47" s="40">
        <f t="shared" ref="BP47" si="593">BO47</f>
        <v>-2000</v>
      </c>
      <c r="BQ47" s="40">
        <f>BP47</f>
        <v>-2000</v>
      </c>
      <c r="BR47" s="40">
        <f>BQ47</f>
        <v>-2000</v>
      </c>
      <c r="BS47" s="40">
        <f>BR47</f>
        <v>-2000</v>
      </c>
      <c r="BT47" s="40">
        <f t="shared" ref="BT47" si="594">BS47</f>
        <v>-2000</v>
      </c>
      <c r="BU47" s="40">
        <f t="shared" ref="BU47:CV47" si="595">BT47</f>
        <v>-2000</v>
      </c>
      <c r="BV47" s="40">
        <f t="shared" si="595"/>
        <v>-2000</v>
      </c>
      <c r="BW47" s="40">
        <f t="shared" si="595"/>
        <v>-2000</v>
      </c>
      <c r="BX47" s="40">
        <f t="shared" si="595"/>
        <v>-2000</v>
      </c>
      <c r="BY47" s="58">
        <v>-2000</v>
      </c>
      <c r="BZ47" s="40">
        <f t="shared" si="595"/>
        <v>-2000</v>
      </c>
      <c r="CA47" s="40">
        <f t="shared" si="595"/>
        <v>-2000</v>
      </c>
      <c r="CB47" s="40">
        <f t="shared" si="595"/>
        <v>-2000</v>
      </c>
      <c r="CC47" s="40">
        <f t="shared" si="595"/>
        <v>-2000</v>
      </c>
      <c r="CD47" s="40">
        <f t="shared" si="595"/>
        <v>-2000</v>
      </c>
      <c r="CE47" s="40">
        <f t="shared" si="595"/>
        <v>-2000</v>
      </c>
      <c r="CF47" s="40">
        <f t="shared" si="595"/>
        <v>-2000</v>
      </c>
      <c r="CG47" s="23">
        <v>-1500</v>
      </c>
      <c r="CH47" s="40">
        <f t="shared" si="595"/>
        <v>-1500</v>
      </c>
      <c r="CI47" s="40">
        <f t="shared" si="595"/>
        <v>-1500</v>
      </c>
      <c r="CJ47" s="40">
        <f t="shared" si="595"/>
        <v>-1500</v>
      </c>
      <c r="CK47" s="61">
        <f t="shared" si="595"/>
        <v>-1500</v>
      </c>
      <c r="CL47" s="40">
        <f t="shared" si="595"/>
        <v>-1500</v>
      </c>
      <c r="CM47" s="40">
        <f t="shared" si="595"/>
        <v>-1500</v>
      </c>
      <c r="CN47" s="40">
        <f t="shared" si="595"/>
        <v>-1500</v>
      </c>
      <c r="CO47" s="40">
        <f t="shared" si="595"/>
        <v>-1500</v>
      </c>
      <c r="CP47" s="40">
        <f t="shared" si="595"/>
        <v>-1500</v>
      </c>
      <c r="CQ47" s="40">
        <f t="shared" si="595"/>
        <v>-1500</v>
      </c>
      <c r="CR47" s="40">
        <f t="shared" si="595"/>
        <v>-1500</v>
      </c>
      <c r="CS47" s="40">
        <f t="shared" si="595"/>
        <v>-1500</v>
      </c>
      <c r="CT47" s="40">
        <f t="shared" si="595"/>
        <v>-1500</v>
      </c>
      <c r="CU47" s="40">
        <f t="shared" si="595"/>
        <v>-1500</v>
      </c>
      <c r="CV47" s="40">
        <f t="shared" si="595"/>
        <v>-1500</v>
      </c>
      <c r="CW47" s="61">
        <f t="shared" si="564"/>
        <v>-1500</v>
      </c>
      <c r="CX47" s="40">
        <f t="shared" si="565"/>
        <v>-1500</v>
      </c>
      <c r="CY47" s="40">
        <f t="shared" si="566"/>
        <v>-1500</v>
      </c>
      <c r="CZ47" s="40">
        <f t="shared" si="567"/>
        <v>-1500</v>
      </c>
      <c r="DA47" s="40">
        <f t="shared" si="568"/>
        <v>-1500</v>
      </c>
      <c r="DB47" s="40">
        <f t="shared" si="569"/>
        <v>-1500</v>
      </c>
      <c r="DC47" s="40">
        <f t="shared" si="570"/>
        <v>-1500</v>
      </c>
      <c r="DD47" s="40">
        <f t="shared" si="571"/>
        <v>-1500</v>
      </c>
      <c r="DE47" s="40">
        <f t="shared" si="572"/>
        <v>-1500</v>
      </c>
      <c r="DF47" s="40">
        <f t="shared" si="573"/>
        <v>-1500</v>
      </c>
      <c r="DG47" s="40">
        <f t="shared" si="574"/>
        <v>-1500</v>
      </c>
      <c r="DH47" s="40">
        <f t="shared" si="575"/>
        <v>-1500</v>
      </c>
    </row>
    <row r="48" spans="2:112" x14ac:dyDescent="0.25">
      <c r="B48" s="22" t="s">
        <v>62</v>
      </c>
      <c r="C48" s="31"/>
      <c r="D48" s="23"/>
      <c r="E48" s="25"/>
      <c r="F48" s="24"/>
      <c r="G48" s="24"/>
      <c r="H48" s="24"/>
      <c r="I48" s="40"/>
      <c r="J48" s="40"/>
      <c r="K48" s="40"/>
      <c r="L48" s="43"/>
      <c r="M48" s="40"/>
      <c r="N48" s="40"/>
      <c r="O48" s="40"/>
      <c r="P48" s="40"/>
      <c r="Q48" s="41"/>
      <c r="R48" s="40"/>
      <c r="S48" s="40"/>
      <c r="T48" s="40"/>
      <c r="U48" s="40"/>
      <c r="V48" s="40"/>
      <c r="W48" s="40"/>
      <c r="X48" s="40"/>
      <c r="Y48" s="40"/>
      <c r="Z48" s="51"/>
      <c r="AA48" s="40"/>
      <c r="AB48" s="40"/>
      <c r="AC48" s="41"/>
      <c r="AD48" s="40"/>
      <c r="AE48" s="23"/>
      <c r="AF48" s="40"/>
      <c r="AG48" s="40"/>
      <c r="AH48" s="40"/>
      <c r="AI48" s="40"/>
      <c r="AJ48" s="40"/>
      <c r="AK48" s="50"/>
      <c r="AL48" s="40"/>
      <c r="AM48" s="40"/>
      <c r="AN48" s="40"/>
      <c r="AO48" s="61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83">
        <v>-22000</v>
      </c>
      <c r="BB48" s="40"/>
      <c r="BC48" s="50">
        <v>-10000</v>
      </c>
      <c r="BD48" s="82"/>
      <c r="BE48" s="40"/>
      <c r="BF48" s="40"/>
      <c r="BG48" s="40"/>
      <c r="BH48" s="40"/>
      <c r="BI48" s="40"/>
      <c r="BJ48" s="40"/>
      <c r="BK48" s="40"/>
      <c r="BL48" s="50">
        <v>-7500</v>
      </c>
      <c r="BM48" s="61"/>
      <c r="BN48" s="40">
        <v>-8000</v>
      </c>
      <c r="BO48" s="40"/>
      <c r="BP48" s="40">
        <v>-2000</v>
      </c>
      <c r="BQ48" s="40"/>
      <c r="BR48" s="40"/>
      <c r="BS48" s="40"/>
      <c r="BT48" s="40"/>
      <c r="BU48" s="40"/>
      <c r="BV48" s="40"/>
      <c r="BW48" s="40"/>
      <c r="BX48" s="40"/>
      <c r="BY48" s="58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  <c r="CK48" s="58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61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</row>
    <row r="49" spans="2:112" x14ac:dyDescent="0.25">
      <c r="B49" s="22" t="s">
        <v>61</v>
      </c>
      <c r="C49" s="31"/>
      <c r="D49" s="23"/>
      <c r="E49" s="25"/>
      <c r="F49" s="24"/>
      <c r="G49" s="24"/>
      <c r="H49" s="24"/>
      <c r="I49" s="40"/>
      <c r="J49" s="40"/>
      <c r="K49" s="40"/>
      <c r="L49" s="43"/>
      <c r="M49" s="40"/>
      <c r="N49" s="40"/>
      <c r="O49" s="40"/>
      <c r="P49" s="40"/>
      <c r="Q49" s="41"/>
      <c r="R49" s="40"/>
      <c r="S49" s="40"/>
      <c r="T49" s="40"/>
      <c r="U49" s="40"/>
      <c r="V49" s="40"/>
      <c r="W49" s="40"/>
      <c r="X49" s="40"/>
      <c r="Y49" s="40"/>
      <c r="Z49" s="51"/>
      <c r="AA49" s="40"/>
      <c r="AB49" s="40"/>
      <c r="AC49" s="41"/>
      <c r="AD49" s="40"/>
      <c r="AE49" s="23"/>
      <c r="AF49" s="40"/>
      <c r="AG49" s="40"/>
      <c r="AH49" s="40"/>
      <c r="AI49" s="40"/>
      <c r="AJ49" s="40"/>
      <c r="AK49" s="50"/>
      <c r="AL49" s="40"/>
      <c r="AM49" s="40"/>
      <c r="AN49" s="40"/>
      <c r="AO49" s="61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58"/>
      <c r="BB49" s="40"/>
      <c r="BC49" s="40"/>
      <c r="BD49" s="40"/>
      <c r="BE49" s="40"/>
      <c r="BF49" s="40"/>
      <c r="BG49" s="40"/>
      <c r="BH49" s="40"/>
      <c r="BI49" s="40"/>
      <c r="BJ49" s="23"/>
      <c r="BK49" s="23"/>
      <c r="BL49" s="40"/>
      <c r="BM49" s="61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61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61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61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</row>
    <row r="50" spans="2:112" x14ac:dyDescent="0.25">
      <c r="B50" s="22" t="s">
        <v>11</v>
      </c>
      <c r="C50" s="31"/>
      <c r="D50" s="23">
        <v>-3800</v>
      </c>
      <c r="E50" s="25">
        <f t="shared" ref="E50:I51" si="596">D50</f>
        <v>-3800</v>
      </c>
      <c r="F50" s="24">
        <f t="shared" si="596"/>
        <v>-3800</v>
      </c>
      <c r="G50" s="24">
        <f t="shared" si="596"/>
        <v>-3800</v>
      </c>
      <c r="H50" s="24">
        <f t="shared" si="596"/>
        <v>-3800</v>
      </c>
      <c r="I50" s="24">
        <f t="shared" si="596"/>
        <v>-3800</v>
      </c>
      <c r="J50" s="23">
        <v>-1500</v>
      </c>
      <c r="K50" s="24">
        <f>J50</f>
        <v>-1500</v>
      </c>
      <c r="L50" s="43">
        <v>-2000</v>
      </c>
      <c r="M50" s="24">
        <f t="shared" ref="M50:M51" si="597">L50</f>
        <v>-2000</v>
      </c>
      <c r="N50" s="24">
        <f t="shared" ref="N50:Z51" si="598">M50</f>
        <v>-2000</v>
      </c>
      <c r="O50" s="24">
        <f t="shared" si="598"/>
        <v>-2000</v>
      </c>
      <c r="P50" s="24">
        <f t="shared" si="598"/>
        <v>-2000</v>
      </c>
      <c r="Q50" s="41">
        <f t="shared" ref="Q50" si="599">P50</f>
        <v>-2000</v>
      </c>
      <c r="R50" s="24">
        <f t="shared" si="598"/>
        <v>-2000</v>
      </c>
      <c r="S50" s="24">
        <f t="shared" si="598"/>
        <v>-2000</v>
      </c>
      <c r="T50" s="24">
        <f t="shared" si="598"/>
        <v>-2000</v>
      </c>
      <c r="U50" s="48">
        <v>0</v>
      </c>
      <c r="V50" s="24">
        <f t="shared" si="598"/>
        <v>0</v>
      </c>
      <c r="W50" s="24">
        <f t="shared" si="598"/>
        <v>0</v>
      </c>
      <c r="X50" s="24">
        <f t="shared" si="598"/>
        <v>0</v>
      </c>
      <c r="Y50" s="24">
        <f t="shared" si="598"/>
        <v>0</v>
      </c>
      <c r="Z50" s="51">
        <f t="shared" si="598"/>
        <v>0</v>
      </c>
      <c r="AA50" s="24">
        <f t="shared" ref="AA50:AA51" si="600">Z50</f>
        <v>0</v>
      </c>
      <c r="AB50" s="24">
        <f t="shared" ref="AB50:AB51" si="601">AA50</f>
        <v>0</v>
      </c>
      <c r="AC50" s="66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43">
        <v>0</v>
      </c>
      <c r="AO50" s="62">
        <f t="shared" si="377"/>
        <v>0</v>
      </c>
      <c r="AP50" s="24">
        <f t="shared" si="378"/>
        <v>0</v>
      </c>
      <c r="AQ50" s="24">
        <f t="shared" si="379"/>
        <v>0</v>
      </c>
      <c r="AR50" s="24">
        <f t="shared" si="380"/>
        <v>0</v>
      </c>
      <c r="AS50" s="24">
        <f t="shared" si="381"/>
        <v>0</v>
      </c>
      <c r="AT50" s="24">
        <f t="shared" si="382"/>
        <v>0</v>
      </c>
      <c r="AU50" s="24">
        <f t="shared" si="383"/>
        <v>0</v>
      </c>
      <c r="AV50" s="24">
        <f t="shared" si="384"/>
        <v>0</v>
      </c>
      <c r="AW50" s="24">
        <f t="shared" si="385"/>
        <v>0</v>
      </c>
      <c r="AX50" s="24">
        <f t="shared" si="386"/>
        <v>0</v>
      </c>
      <c r="AY50" s="24">
        <f t="shared" si="387"/>
        <v>0</v>
      </c>
      <c r="AZ50" s="43">
        <v>0</v>
      </c>
      <c r="BA50" s="62">
        <f>AZ50</f>
        <v>0</v>
      </c>
      <c r="BB50" s="24">
        <f t="shared" si="389"/>
        <v>0</v>
      </c>
      <c r="BC50" s="24">
        <f t="shared" si="390"/>
        <v>0</v>
      </c>
      <c r="BD50" s="24">
        <f t="shared" ref="BD50:BD51" si="602">BC50</f>
        <v>0</v>
      </c>
      <c r="BE50" s="24">
        <f t="shared" si="391"/>
        <v>0</v>
      </c>
      <c r="BF50" s="24">
        <f t="shared" si="392"/>
        <v>0</v>
      </c>
      <c r="BG50" s="24">
        <f t="shared" si="393"/>
        <v>0</v>
      </c>
      <c r="BH50" s="24">
        <f t="shared" si="394"/>
        <v>0</v>
      </c>
      <c r="BI50" s="24">
        <f t="shared" si="395"/>
        <v>0</v>
      </c>
      <c r="BJ50" s="24">
        <f t="shared" si="396"/>
        <v>0</v>
      </c>
      <c r="BK50" s="24">
        <f t="shared" si="397"/>
        <v>0</v>
      </c>
      <c r="BL50" s="24">
        <f t="shared" si="398"/>
        <v>0</v>
      </c>
      <c r="BM50" s="62">
        <f t="shared" si="398"/>
        <v>0</v>
      </c>
      <c r="BN50" s="24">
        <f t="shared" ref="BN50:BN51" si="603">BM50</f>
        <v>0</v>
      </c>
      <c r="BO50" s="24">
        <f t="shared" ref="BO50:BO51" si="604">BN50</f>
        <v>0</v>
      </c>
      <c r="BP50" s="24">
        <f t="shared" ref="BP50:BP51" si="605">BO50</f>
        <v>0</v>
      </c>
      <c r="BQ50" s="24">
        <f t="shared" ref="BQ50:BQ51" si="606">BP50</f>
        <v>0</v>
      </c>
      <c r="BR50" s="24">
        <f t="shared" ref="BR50:BR51" si="607">BQ50</f>
        <v>0</v>
      </c>
      <c r="BS50" s="24">
        <f t="shared" ref="BS50:BS51" si="608">BR50</f>
        <v>0</v>
      </c>
      <c r="BT50" s="24">
        <f t="shared" ref="BT50:BT51" si="609">BS50</f>
        <v>0</v>
      </c>
      <c r="BU50" s="24">
        <f t="shared" ref="BU50:BU51" si="610">BT50</f>
        <v>0</v>
      </c>
      <c r="BV50" s="24">
        <f t="shared" ref="BV50:BV51" si="611">BU50</f>
        <v>0</v>
      </c>
      <c r="BW50" s="24">
        <f t="shared" ref="BW50:BW51" si="612">BV50</f>
        <v>0</v>
      </c>
      <c r="BX50" s="24">
        <f t="shared" ref="BX50:BX51" si="613">BW50</f>
        <v>0</v>
      </c>
      <c r="BY50" s="62">
        <f t="shared" si="405"/>
        <v>0</v>
      </c>
      <c r="BZ50" s="24">
        <f t="shared" si="406"/>
        <v>0</v>
      </c>
      <c r="CA50" s="24">
        <f t="shared" si="407"/>
        <v>0</v>
      </c>
      <c r="CB50" s="24">
        <f t="shared" si="408"/>
        <v>0</v>
      </c>
      <c r="CC50" s="24">
        <f t="shared" si="409"/>
        <v>0</v>
      </c>
      <c r="CD50" s="24">
        <f t="shared" si="410"/>
        <v>0</v>
      </c>
      <c r="CE50" s="24">
        <f t="shared" si="411"/>
        <v>0</v>
      </c>
      <c r="CF50" s="24">
        <f t="shared" si="412"/>
        <v>0</v>
      </c>
      <c r="CG50" s="24">
        <f t="shared" ref="CG50:CG51" si="614">CF50</f>
        <v>0</v>
      </c>
      <c r="CH50" s="24">
        <f t="shared" si="413"/>
        <v>0</v>
      </c>
      <c r="CI50" s="24">
        <f t="shared" si="414"/>
        <v>0</v>
      </c>
      <c r="CJ50" s="24">
        <f t="shared" si="415"/>
        <v>0</v>
      </c>
      <c r="CK50" s="62">
        <f t="shared" ref="CK50:CK51" si="615">CJ50</f>
        <v>0</v>
      </c>
      <c r="CL50" s="24">
        <f t="shared" ref="CL50:CL51" si="616">CK50</f>
        <v>0</v>
      </c>
      <c r="CM50" s="24">
        <f t="shared" ref="CM50:CM51" si="617">CL50</f>
        <v>0</v>
      </c>
      <c r="CN50" s="24">
        <f t="shared" ref="CN50:CN51" si="618">CM50</f>
        <v>0</v>
      </c>
      <c r="CO50" s="24">
        <f t="shared" ref="CO50:CO51" si="619">CN50</f>
        <v>0</v>
      </c>
      <c r="CP50" s="24">
        <f t="shared" ref="CP50:CP51" si="620">CO50</f>
        <v>0</v>
      </c>
      <c r="CQ50" s="24">
        <f t="shared" ref="CQ50:CQ51" si="621">CP50</f>
        <v>0</v>
      </c>
      <c r="CR50" s="24">
        <f t="shared" ref="CR50:CR51" si="622">CQ50</f>
        <v>0</v>
      </c>
      <c r="CS50" s="24">
        <f t="shared" ref="CS50:CS51" si="623">CR50</f>
        <v>0</v>
      </c>
      <c r="CT50" s="24">
        <f t="shared" ref="CT50:CT51" si="624">CS50</f>
        <v>0</v>
      </c>
      <c r="CU50" s="24">
        <f t="shared" ref="CU50:CU51" si="625">CT50</f>
        <v>0</v>
      </c>
      <c r="CV50" s="24">
        <f t="shared" ref="CV50:CV51" si="626">CU50</f>
        <v>0</v>
      </c>
      <c r="CW50" s="62">
        <f t="shared" ref="CW50:CW51" si="627">CV50</f>
        <v>0</v>
      </c>
      <c r="CX50" s="24">
        <f t="shared" ref="CX50:CX51" si="628">CW50</f>
        <v>0</v>
      </c>
      <c r="CY50" s="24">
        <f t="shared" ref="CY50:CY51" si="629">CX50</f>
        <v>0</v>
      </c>
      <c r="CZ50" s="24">
        <f t="shared" ref="CZ50:CZ51" si="630">CY50</f>
        <v>0</v>
      </c>
      <c r="DA50" s="24">
        <f t="shared" ref="DA50:DA51" si="631">CZ50</f>
        <v>0</v>
      </c>
      <c r="DB50" s="24">
        <f t="shared" ref="DB50:DB51" si="632">DA50</f>
        <v>0</v>
      </c>
      <c r="DC50" s="24">
        <f t="shared" ref="DC50:DC51" si="633">DB50</f>
        <v>0</v>
      </c>
      <c r="DD50" s="24">
        <f t="shared" ref="DD50:DD51" si="634">DC50</f>
        <v>0</v>
      </c>
      <c r="DE50" s="24">
        <f t="shared" ref="DE50:DE51" si="635">DD50</f>
        <v>0</v>
      </c>
      <c r="DF50" s="24">
        <f t="shared" ref="DF50:DF51" si="636">DE50</f>
        <v>0</v>
      </c>
      <c r="DG50" s="24">
        <f t="shared" ref="DG50:DG51" si="637">DF50</f>
        <v>0</v>
      </c>
      <c r="DH50" s="24">
        <f t="shared" ref="DH50:DH51" si="638">DG50</f>
        <v>0</v>
      </c>
    </row>
    <row r="51" spans="2:112" x14ac:dyDescent="0.25">
      <c r="B51" s="22" t="s">
        <v>30</v>
      </c>
      <c r="C51" s="31"/>
      <c r="D51" s="23">
        <v>-3800</v>
      </c>
      <c r="E51" s="25">
        <f t="shared" ref="E51" si="639">D51</f>
        <v>-3800</v>
      </c>
      <c r="F51" s="24">
        <f t="shared" ref="F51" si="640">E51</f>
        <v>-3800</v>
      </c>
      <c r="G51" s="24">
        <f t="shared" ref="G51" si="641">F51</f>
        <v>-3800</v>
      </c>
      <c r="H51" s="24">
        <f t="shared" ref="H51" si="642">G51</f>
        <v>-3800</v>
      </c>
      <c r="I51" s="40">
        <f t="shared" si="596"/>
        <v>-3800</v>
      </c>
      <c r="J51" s="40">
        <f t="shared" ref="J51" si="643">I51</f>
        <v>-3800</v>
      </c>
      <c r="K51" s="23">
        <v>-2000</v>
      </c>
      <c r="L51" s="43">
        <v>-2000</v>
      </c>
      <c r="M51" s="40">
        <f t="shared" si="597"/>
        <v>-2000</v>
      </c>
      <c r="N51" s="40">
        <f t="shared" si="598"/>
        <v>-2000</v>
      </c>
      <c r="O51" s="40">
        <f t="shared" si="598"/>
        <v>-2000</v>
      </c>
      <c r="P51" s="40">
        <f t="shared" si="598"/>
        <v>-2000</v>
      </c>
      <c r="Q51" s="41">
        <f t="shared" ref="Q51" si="644">P51</f>
        <v>-2000</v>
      </c>
      <c r="R51" s="40">
        <f t="shared" si="598"/>
        <v>-2000</v>
      </c>
      <c r="S51" s="40">
        <f t="shared" si="598"/>
        <v>-2000</v>
      </c>
      <c r="T51" s="40">
        <f t="shared" si="598"/>
        <v>-2000</v>
      </c>
      <c r="U51" s="48">
        <v>0</v>
      </c>
      <c r="V51" s="40">
        <f t="shared" si="598"/>
        <v>0</v>
      </c>
      <c r="W51" s="40">
        <f t="shared" si="598"/>
        <v>0</v>
      </c>
      <c r="X51" s="40">
        <f t="shared" si="598"/>
        <v>0</v>
      </c>
      <c r="Y51" s="40">
        <f t="shared" si="598"/>
        <v>0</v>
      </c>
      <c r="Z51" s="50">
        <f t="shared" si="598"/>
        <v>0</v>
      </c>
      <c r="AA51" s="40">
        <f t="shared" si="600"/>
        <v>0</v>
      </c>
      <c r="AB51" s="40">
        <f t="shared" si="601"/>
        <v>0</v>
      </c>
      <c r="AC51" s="68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43">
        <v>0</v>
      </c>
      <c r="AO51" s="61">
        <f t="shared" si="377"/>
        <v>0</v>
      </c>
      <c r="AP51" s="40">
        <f t="shared" si="378"/>
        <v>0</v>
      </c>
      <c r="AQ51" s="40">
        <f t="shared" si="379"/>
        <v>0</v>
      </c>
      <c r="AR51" s="40">
        <f t="shared" si="380"/>
        <v>0</v>
      </c>
      <c r="AS51" s="40">
        <f t="shared" si="381"/>
        <v>0</v>
      </c>
      <c r="AT51" s="40">
        <f t="shared" si="382"/>
        <v>0</v>
      </c>
      <c r="AU51" s="40">
        <f t="shared" si="383"/>
        <v>0</v>
      </c>
      <c r="AV51" s="40">
        <f t="shared" si="384"/>
        <v>0</v>
      </c>
      <c r="AW51" s="40">
        <f t="shared" si="385"/>
        <v>0</v>
      </c>
      <c r="AX51" s="40">
        <f t="shared" si="386"/>
        <v>0</v>
      </c>
      <c r="AY51" s="40">
        <f t="shared" si="387"/>
        <v>0</v>
      </c>
      <c r="AZ51" s="43">
        <v>0</v>
      </c>
      <c r="BA51" s="62">
        <f>AZ51</f>
        <v>0</v>
      </c>
      <c r="BB51" s="40">
        <f t="shared" si="389"/>
        <v>0</v>
      </c>
      <c r="BC51" s="40">
        <f t="shared" si="390"/>
        <v>0</v>
      </c>
      <c r="BD51" s="40">
        <f t="shared" si="602"/>
        <v>0</v>
      </c>
      <c r="BE51" s="40">
        <f t="shared" si="391"/>
        <v>0</v>
      </c>
      <c r="BF51" s="40">
        <f t="shared" si="392"/>
        <v>0</v>
      </c>
      <c r="BG51" s="40">
        <f t="shared" si="393"/>
        <v>0</v>
      </c>
      <c r="BH51" s="40">
        <f t="shared" si="394"/>
        <v>0</v>
      </c>
      <c r="BI51" s="40">
        <f t="shared" si="395"/>
        <v>0</v>
      </c>
      <c r="BJ51" s="40">
        <f t="shared" si="396"/>
        <v>0</v>
      </c>
      <c r="BK51" s="40">
        <f t="shared" si="397"/>
        <v>0</v>
      </c>
      <c r="BL51" s="40">
        <f t="shared" si="398"/>
        <v>0</v>
      </c>
      <c r="BM51" s="61">
        <f t="shared" si="398"/>
        <v>0</v>
      </c>
      <c r="BN51" s="40">
        <f t="shared" si="603"/>
        <v>0</v>
      </c>
      <c r="BO51" s="40">
        <f t="shared" si="604"/>
        <v>0</v>
      </c>
      <c r="BP51" s="40">
        <f t="shared" si="605"/>
        <v>0</v>
      </c>
      <c r="BQ51" s="40">
        <f t="shared" si="606"/>
        <v>0</v>
      </c>
      <c r="BR51" s="40">
        <f t="shared" si="607"/>
        <v>0</v>
      </c>
      <c r="BS51" s="40">
        <f t="shared" si="608"/>
        <v>0</v>
      </c>
      <c r="BT51" s="40">
        <f t="shared" si="609"/>
        <v>0</v>
      </c>
      <c r="BU51" s="40">
        <f t="shared" si="610"/>
        <v>0</v>
      </c>
      <c r="BV51" s="40">
        <f t="shared" si="611"/>
        <v>0</v>
      </c>
      <c r="BW51" s="40">
        <f t="shared" si="612"/>
        <v>0</v>
      </c>
      <c r="BX51" s="40">
        <f t="shared" si="613"/>
        <v>0</v>
      </c>
      <c r="BY51" s="61">
        <f t="shared" si="405"/>
        <v>0</v>
      </c>
      <c r="BZ51" s="40">
        <f t="shared" si="406"/>
        <v>0</v>
      </c>
      <c r="CA51" s="40">
        <f t="shared" si="407"/>
        <v>0</v>
      </c>
      <c r="CB51" s="40">
        <f t="shared" si="408"/>
        <v>0</v>
      </c>
      <c r="CC51" s="40">
        <f t="shared" si="409"/>
        <v>0</v>
      </c>
      <c r="CD51" s="40">
        <f t="shared" si="410"/>
        <v>0</v>
      </c>
      <c r="CE51" s="40">
        <f t="shared" si="411"/>
        <v>0</v>
      </c>
      <c r="CF51" s="40">
        <f t="shared" si="412"/>
        <v>0</v>
      </c>
      <c r="CG51" s="40">
        <f t="shared" si="614"/>
        <v>0</v>
      </c>
      <c r="CH51" s="40">
        <f t="shared" si="413"/>
        <v>0</v>
      </c>
      <c r="CI51" s="40">
        <f t="shared" si="414"/>
        <v>0</v>
      </c>
      <c r="CJ51" s="40">
        <f t="shared" si="415"/>
        <v>0</v>
      </c>
      <c r="CK51" s="61">
        <f t="shared" si="615"/>
        <v>0</v>
      </c>
      <c r="CL51" s="40">
        <f t="shared" si="616"/>
        <v>0</v>
      </c>
      <c r="CM51" s="40">
        <f t="shared" si="617"/>
        <v>0</v>
      </c>
      <c r="CN51" s="40">
        <f t="shared" si="618"/>
        <v>0</v>
      </c>
      <c r="CO51" s="40">
        <f t="shared" si="619"/>
        <v>0</v>
      </c>
      <c r="CP51" s="40">
        <f t="shared" si="620"/>
        <v>0</v>
      </c>
      <c r="CQ51" s="40">
        <f t="shared" si="621"/>
        <v>0</v>
      </c>
      <c r="CR51" s="40">
        <f t="shared" si="622"/>
        <v>0</v>
      </c>
      <c r="CS51" s="40">
        <f t="shared" si="623"/>
        <v>0</v>
      </c>
      <c r="CT51" s="40">
        <f t="shared" si="624"/>
        <v>0</v>
      </c>
      <c r="CU51" s="40">
        <f t="shared" si="625"/>
        <v>0</v>
      </c>
      <c r="CV51" s="40">
        <f t="shared" si="626"/>
        <v>0</v>
      </c>
      <c r="CW51" s="61">
        <f t="shared" si="627"/>
        <v>0</v>
      </c>
      <c r="CX51" s="40">
        <f t="shared" si="628"/>
        <v>0</v>
      </c>
      <c r="CY51" s="40">
        <f t="shared" si="629"/>
        <v>0</v>
      </c>
      <c r="CZ51" s="40">
        <f t="shared" si="630"/>
        <v>0</v>
      </c>
      <c r="DA51" s="40">
        <f t="shared" si="631"/>
        <v>0</v>
      </c>
      <c r="DB51" s="40">
        <f t="shared" si="632"/>
        <v>0</v>
      </c>
      <c r="DC51" s="40">
        <f t="shared" si="633"/>
        <v>0</v>
      </c>
      <c r="DD51" s="40">
        <f t="shared" si="634"/>
        <v>0</v>
      </c>
      <c r="DE51" s="40">
        <f t="shared" si="635"/>
        <v>0</v>
      </c>
      <c r="DF51" s="40">
        <f t="shared" si="636"/>
        <v>0</v>
      </c>
      <c r="DG51" s="40">
        <f t="shared" si="637"/>
        <v>0</v>
      </c>
      <c r="DH51" s="40">
        <f t="shared" si="638"/>
        <v>0</v>
      </c>
    </row>
    <row r="52" spans="2:112" x14ac:dyDescent="0.25">
      <c r="B52" s="22" t="s">
        <v>18</v>
      </c>
      <c r="C52" s="31"/>
      <c r="D52" s="23"/>
      <c r="E52" s="25"/>
      <c r="F52" s="23"/>
      <c r="G52" s="23">
        <v>-20000</v>
      </c>
      <c r="H52" s="24"/>
      <c r="I52" s="24"/>
      <c r="J52" s="24"/>
      <c r="K52" s="24"/>
      <c r="L52" s="24"/>
      <c r="M52" s="31"/>
      <c r="N52" s="24"/>
      <c r="O52" s="24"/>
      <c r="P52" s="24"/>
      <c r="Q52" s="25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5"/>
      <c r="AD52" s="24"/>
      <c r="AE52" s="24"/>
      <c r="AF52" s="24"/>
      <c r="AG52" s="24"/>
      <c r="AH52" s="24"/>
      <c r="AI52" s="24">
        <v>0</v>
      </c>
      <c r="AJ52" s="24"/>
      <c r="AK52" s="24"/>
      <c r="AL52" s="24"/>
      <c r="AM52" s="24"/>
      <c r="AN52" s="24"/>
      <c r="AO52" s="62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62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62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62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62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62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</row>
    <row r="53" spans="2:112" x14ac:dyDescent="0.25">
      <c r="B53" s="22" t="s">
        <v>37</v>
      </c>
      <c r="C53" s="31"/>
      <c r="D53" s="23"/>
      <c r="E53" s="25"/>
      <c r="F53" s="23"/>
      <c r="G53" s="23"/>
      <c r="H53" s="24"/>
      <c r="I53" s="24"/>
      <c r="J53" s="24"/>
      <c r="K53" s="24"/>
      <c r="L53" s="24"/>
      <c r="M53" s="31"/>
      <c r="N53" s="24"/>
      <c r="O53" s="24"/>
      <c r="P53" s="24"/>
      <c r="Q53" s="25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5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62"/>
      <c r="AP53" s="24"/>
      <c r="AQ53" s="24"/>
      <c r="AR53" s="24"/>
      <c r="AS53" s="23">
        <f>-2950-2800</f>
        <v>-5750</v>
      </c>
      <c r="AT53" s="24"/>
      <c r="AU53" s="23">
        <v>-4400</v>
      </c>
      <c r="AV53" s="24"/>
      <c r="AW53" s="24"/>
      <c r="AX53" s="24"/>
      <c r="AY53" s="23">
        <v>-2950</v>
      </c>
      <c r="AZ53" s="24"/>
      <c r="BA53" s="62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62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62"/>
      <c r="BZ53" s="24"/>
      <c r="CA53" s="24"/>
      <c r="CB53" s="24"/>
      <c r="CC53" s="24"/>
      <c r="CD53" s="24"/>
      <c r="CE53" s="23">
        <v>-5000</v>
      </c>
      <c r="CF53" s="24"/>
      <c r="CG53" s="24"/>
      <c r="CH53" s="24"/>
      <c r="CI53" s="24"/>
      <c r="CJ53" s="24"/>
      <c r="CK53" s="62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62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</row>
    <row r="54" spans="2:112" x14ac:dyDescent="0.25">
      <c r="B54" s="22" t="s">
        <v>12</v>
      </c>
      <c r="C54" s="31"/>
      <c r="D54" s="23"/>
      <c r="E54" s="25"/>
      <c r="F54" s="23">
        <v>-6517</v>
      </c>
      <c r="G54" s="23"/>
      <c r="H54" s="24"/>
      <c r="I54" s="24"/>
      <c r="J54" s="24"/>
      <c r="K54" s="24"/>
      <c r="L54" s="24"/>
      <c r="M54" s="31">
        <v>-40000</v>
      </c>
      <c r="N54" s="24"/>
      <c r="O54" s="24"/>
      <c r="P54" s="24"/>
      <c r="Q54" s="25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5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62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62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62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62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62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62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</row>
    <row r="55" spans="2:112" x14ac:dyDescent="0.25">
      <c r="B55" s="22" t="s">
        <v>13</v>
      </c>
      <c r="C55" s="31"/>
      <c r="D55" s="23"/>
      <c r="E55" s="25"/>
      <c r="F55" s="23"/>
      <c r="G55" s="23"/>
      <c r="H55" s="24"/>
      <c r="I55" s="24"/>
      <c r="J55" s="24"/>
      <c r="K55" s="24"/>
      <c r="L55" s="31">
        <v>-5000</v>
      </c>
      <c r="M55" s="31">
        <v>-40000</v>
      </c>
      <c r="N55" s="24"/>
      <c r="O55" s="24"/>
      <c r="P55" s="24"/>
      <c r="Q55" s="34">
        <v>-515</v>
      </c>
      <c r="R55" s="24"/>
      <c r="S55" s="24"/>
      <c r="T55" s="24"/>
      <c r="U55" s="24"/>
      <c r="V55" s="23">
        <v>-17775</v>
      </c>
      <c r="W55" s="24"/>
      <c r="X55" s="24"/>
      <c r="Y55" s="31"/>
      <c r="Z55" s="24"/>
      <c r="AA55" s="24"/>
      <c r="AB55" s="24"/>
      <c r="AC55" s="25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62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62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62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62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62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62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</row>
    <row r="56" spans="2:112" x14ac:dyDescent="0.25">
      <c r="B56" s="22" t="s">
        <v>20</v>
      </c>
      <c r="C56" s="31"/>
      <c r="D56" s="23"/>
      <c r="E56" s="25"/>
      <c r="F56" s="23"/>
      <c r="G56" s="23"/>
      <c r="H56" s="24"/>
      <c r="I56" s="24"/>
      <c r="J56" s="24"/>
      <c r="K56" s="24"/>
      <c r="L56" s="24"/>
      <c r="M56" s="31"/>
      <c r="N56" s="24"/>
      <c r="O56" s="24"/>
      <c r="P56" s="24"/>
      <c r="Q56" s="25"/>
      <c r="R56" s="24"/>
      <c r="S56" s="24"/>
      <c r="T56" s="24"/>
      <c r="U56" s="24"/>
      <c r="V56" s="24"/>
      <c r="W56" s="24"/>
      <c r="X56" s="24"/>
      <c r="Y56" s="24"/>
      <c r="Z56" s="24"/>
      <c r="AA56" s="31"/>
      <c r="AB56" s="23">
        <v>-35000</v>
      </c>
      <c r="AC56" s="25"/>
      <c r="AD56" s="23">
        <v>-15669</v>
      </c>
      <c r="AE56" s="24"/>
      <c r="AF56" s="24"/>
      <c r="AG56" s="24"/>
      <c r="AH56" s="24"/>
      <c r="AI56" s="24"/>
      <c r="AJ56" s="24"/>
      <c r="AK56" s="24"/>
      <c r="AL56" s="23">
        <f>12085+10777</f>
        <v>22862</v>
      </c>
      <c r="AM56" s="24"/>
      <c r="AN56" s="24"/>
      <c r="AO56" s="62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62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62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62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62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62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</row>
    <row r="57" spans="2:112" x14ac:dyDescent="0.25">
      <c r="B57" s="22" t="s">
        <v>24</v>
      </c>
      <c r="C57" s="31"/>
      <c r="D57" s="23"/>
      <c r="E57" s="25"/>
      <c r="F57" s="23"/>
      <c r="G57" s="23"/>
      <c r="H57" s="24"/>
      <c r="I57" s="24"/>
      <c r="J57" s="24"/>
      <c r="K57" s="24"/>
      <c r="L57" s="24"/>
      <c r="M57" s="31"/>
      <c r="N57" s="24"/>
      <c r="O57" s="24"/>
      <c r="P57" s="24"/>
      <c r="Q57" s="25"/>
      <c r="R57" s="24"/>
      <c r="S57" s="24"/>
      <c r="T57" s="24"/>
      <c r="U57" s="24"/>
      <c r="V57" s="24"/>
      <c r="W57" s="24"/>
      <c r="X57" s="24"/>
      <c r="Y57" s="24"/>
      <c r="Z57" s="23"/>
      <c r="AA57" s="23"/>
      <c r="AB57" s="23"/>
      <c r="AC57" s="34"/>
      <c r="AD57" s="23">
        <v>-37976</v>
      </c>
      <c r="AE57" s="24"/>
      <c r="AF57" s="23"/>
      <c r="AG57" s="23"/>
      <c r="AH57" s="23"/>
      <c r="AI57" s="23">
        <v>-16000</v>
      </c>
      <c r="AJ57" s="24"/>
      <c r="AK57" s="23"/>
      <c r="AL57" s="23"/>
      <c r="AM57" s="23"/>
      <c r="AN57" s="23"/>
      <c r="AO57" s="58"/>
      <c r="AP57" s="23"/>
      <c r="AQ57" s="23"/>
      <c r="AR57" s="23">
        <v>-5101</v>
      </c>
      <c r="AS57" s="23"/>
      <c r="AT57" s="23"/>
      <c r="AU57" s="23"/>
      <c r="AV57" s="23"/>
      <c r="AW57" s="23"/>
      <c r="AX57" s="23"/>
      <c r="AY57" s="23"/>
      <c r="AZ57" s="23"/>
      <c r="BA57" s="58"/>
      <c r="BB57" s="23">
        <v>3377</v>
      </c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58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58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58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58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</row>
    <row r="58" spans="2:112" x14ac:dyDescent="0.25">
      <c r="B58" s="22" t="s">
        <v>26</v>
      </c>
      <c r="C58" s="31"/>
      <c r="D58" s="23"/>
      <c r="E58" s="25"/>
      <c r="F58" s="23"/>
      <c r="G58" s="23"/>
      <c r="H58" s="24"/>
      <c r="I58" s="24"/>
      <c r="J58" s="24"/>
      <c r="K58" s="24"/>
      <c r="L58" s="24"/>
      <c r="M58" s="31"/>
      <c r="N58" s="24"/>
      <c r="O58" s="24"/>
      <c r="P58" s="24"/>
      <c r="Q58" s="25"/>
      <c r="R58" s="24"/>
      <c r="S58" s="24"/>
      <c r="T58" s="24"/>
      <c r="U58" s="24"/>
      <c r="V58" s="24"/>
      <c r="W58" s="24"/>
      <c r="X58" s="24"/>
      <c r="Y58" s="45"/>
      <c r="Z58" s="23"/>
      <c r="AA58" s="23"/>
      <c r="AB58" s="23"/>
      <c r="AC58" s="34"/>
      <c r="AD58" s="23"/>
      <c r="AE58" s="23"/>
      <c r="AF58" s="23"/>
      <c r="AG58" s="23"/>
      <c r="AH58" s="23"/>
      <c r="AL58" s="23"/>
      <c r="AM58" s="23"/>
      <c r="AN58" s="23"/>
      <c r="AO58" s="58"/>
      <c r="AP58" s="23">
        <v>-28000</v>
      </c>
      <c r="AQ58" s="24"/>
      <c r="AR58" s="23"/>
      <c r="AS58" s="23"/>
      <c r="AT58" s="23"/>
      <c r="AU58" s="23">
        <v>-8000</v>
      </c>
      <c r="AV58" s="23"/>
      <c r="AW58" s="23"/>
      <c r="AX58" s="23"/>
      <c r="AY58" s="23"/>
      <c r="AZ58" s="23"/>
      <c r="BA58" s="58"/>
      <c r="BD58" s="23">
        <f>-20047+26058</f>
        <v>6011</v>
      </c>
      <c r="BF58" s="23"/>
      <c r="BH58" s="23"/>
      <c r="BI58" s="23"/>
      <c r="BJ58" s="23"/>
      <c r="BK58" s="23"/>
      <c r="BL58" s="23">
        <v>-3900</v>
      </c>
      <c r="BM58" s="58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58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58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58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</row>
    <row r="59" spans="2:112" x14ac:dyDescent="0.25">
      <c r="B59" s="22" t="s">
        <v>31</v>
      </c>
      <c r="C59" s="31"/>
      <c r="D59" s="23"/>
      <c r="E59" s="25"/>
      <c r="F59" s="23"/>
      <c r="G59" s="23"/>
      <c r="H59" s="24"/>
      <c r="I59" s="24"/>
      <c r="J59" s="24"/>
      <c r="K59" s="24"/>
      <c r="L59" s="24"/>
      <c r="M59" s="31"/>
      <c r="N59" s="24"/>
      <c r="O59" s="24"/>
      <c r="P59" s="24"/>
      <c r="Q59" s="25"/>
      <c r="R59" s="24"/>
      <c r="S59" s="24"/>
      <c r="T59" s="24"/>
      <c r="U59" s="24"/>
      <c r="V59" s="24"/>
      <c r="W59" s="24"/>
      <c r="X59" s="24"/>
      <c r="Y59" s="45"/>
      <c r="Z59" s="23"/>
      <c r="AA59" s="23"/>
      <c r="AB59" s="23"/>
      <c r="AC59" s="34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58"/>
      <c r="AP59" s="23"/>
      <c r="AQ59" s="24"/>
      <c r="AR59" s="23"/>
      <c r="AS59" s="23"/>
      <c r="AT59" s="23"/>
      <c r="AU59" s="23"/>
      <c r="AV59" s="23"/>
      <c r="AW59" s="23"/>
      <c r="AX59" s="23"/>
      <c r="AY59" s="23"/>
      <c r="AZ59" s="23"/>
      <c r="BA59" s="58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58"/>
      <c r="BN59" s="23"/>
      <c r="BO59" s="23">
        <f>-8754</f>
        <v>-8754</v>
      </c>
      <c r="BP59" s="23">
        <v>-20047</v>
      </c>
      <c r="BQ59" s="23"/>
      <c r="BR59" s="23"/>
      <c r="BS59" s="23"/>
      <c r="BT59" s="23"/>
      <c r="BU59" s="23"/>
      <c r="BV59" s="23"/>
      <c r="BW59" s="23"/>
      <c r="BX59" s="23"/>
      <c r="BY59" s="58">
        <v>6118</v>
      </c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58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58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</row>
    <row r="60" spans="2:112" x14ac:dyDescent="0.25">
      <c r="B60" s="22" t="s">
        <v>36</v>
      </c>
      <c r="C60" s="31"/>
      <c r="D60" s="23"/>
      <c r="E60" s="25"/>
      <c r="F60" s="23"/>
      <c r="G60" s="23"/>
      <c r="H60" s="24"/>
      <c r="I60" s="24"/>
      <c r="J60" s="24"/>
      <c r="K60" s="24"/>
      <c r="L60" s="24"/>
      <c r="M60" s="31"/>
      <c r="N60" s="24"/>
      <c r="O60" s="24"/>
      <c r="P60" s="24"/>
      <c r="Q60" s="25"/>
      <c r="R60" s="24"/>
      <c r="S60" s="24"/>
      <c r="T60" s="24"/>
      <c r="U60" s="24"/>
      <c r="V60" s="24"/>
      <c r="W60" s="24"/>
      <c r="X60" s="24"/>
      <c r="Y60" s="45"/>
      <c r="Z60" s="23"/>
      <c r="AA60" s="23"/>
      <c r="AB60" s="23"/>
      <c r="AC60" s="34"/>
      <c r="AD60" s="23"/>
      <c r="AF60" s="23"/>
      <c r="AG60" s="23"/>
      <c r="AH60" s="23"/>
      <c r="AI60" s="23"/>
      <c r="AJ60" s="23"/>
      <c r="AK60" s="23"/>
      <c r="AL60" s="23"/>
      <c r="AM60" s="23"/>
      <c r="AN60" s="23"/>
      <c r="AO60" s="58"/>
      <c r="AP60" s="23"/>
      <c r="AQ60" s="24"/>
      <c r="AR60" s="23"/>
      <c r="AS60" s="23"/>
      <c r="AT60" s="23"/>
      <c r="AU60" s="23"/>
      <c r="AV60" s="23"/>
      <c r="AW60" s="23"/>
      <c r="AX60" s="23"/>
      <c r="AY60" s="23"/>
      <c r="AZ60" s="23"/>
      <c r="BA60" s="58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58"/>
      <c r="BN60" s="23"/>
      <c r="BO60" s="23"/>
      <c r="BP60" s="23"/>
      <c r="BQ60" s="23"/>
      <c r="BR60" s="23"/>
      <c r="BS60" s="23"/>
      <c r="BU60" s="23"/>
      <c r="BV60" s="23"/>
      <c r="BW60" s="23"/>
      <c r="BX60" s="23"/>
      <c r="BY60" s="58"/>
      <c r="BZ60" s="23">
        <v>-8509</v>
      </c>
      <c r="CA60" s="23"/>
      <c r="CB60" s="23"/>
      <c r="CC60" s="23"/>
      <c r="CD60" s="23"/>
      <c r="CE60" s="23">
        <f>-25776</f>
        <v>-25776</v>
      </c>
      <c r="CF60" s="23"/>
      <c r="CG60" s="23"/>
      <c r="CH60" s="23"/>
      <c r="CI60" s="23"/>
      <c r="CJ60" s="23"/>
      <c r="CK60" s="58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58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</row>
    <row r="61" spans="2:112" x14ac:dyDescent="0.25">
      <c r="B61" s="22" t="s">
        <v>64</v>
      </c>
      <c r="C61" s="31"/>
      <c r="D61" s="23"/>
      <c r="E61" s="25"/>
      <c r="F61" s="23"/>
      <c r="G61" s="23"/>
      <c r="H61" s="24"/>
      <c r="I61" s="24"/>
      <c r="J61" s="24"/>
      <c r="K61" s="24"/>
      <c r="L61" s="24"/>
      <c r="M61" s="31"/>
      <c r="N61" s="24"/>
      <c r="O61" s="24"/>
      <c r="P61" s="24"/>
      <c r="Q61" s="25"/>
      <c r="R61" s="24"/>
      <c r="S61" s="24"/>
      <c r="T61" s="24"/>
      <c r="U61" s="24"/>
      <c r="V61" s="24"/>
      <c r="W61" s="24"/>
      <c r="X61" s="24"/>
      <c r="Y61" s="45"/>
      <c r="Z61" s="23"/>
      <c r="AA61" s="23"/>
      <c r="AB61" s="23"/>
      <c r="AC61" s="34"/>
      <c r="AD61" s="23"/>
      <c r="AF61" s="23"/>
      <c r="AG61" s="23"/>
      <c r="AH61" s="23"/>
      <c r="AI61" s="23"/>
      <c r="AJ61" s="23"/>
      <c r="AK61" s="23"/>
      <c r="AL61" s="23"/>
      <c r="AM61" s="23"/>
      <c r="AN61" s="23"/>
      <c r="AO61" s="58"/>
      <c r="AP61" s="23"/>
      <c r="AQ61" s="24"/>
      <c r="AR61" s="23"/>
      <c r="AS61" s="23"/>
      <c r="AT61" s="23"/>
      <c r="AU61" s="23"/>
      <c r="AV61" s="23"/>
      <c r="AW61" s="23"/>
      <c r="AX61" s="23"/>
      <c r="AY61" s="23"/>
      <c r="AZ61" s="23"/>
      <c r="BA61" s="58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58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58"/>
      <c r="BZ61" s="23"/>
      <c r="CA61" s="23"/>
      <c r="CB61" s="23"/>
      <c r="CC61" s="23"/>
      <c r="CD61" s="23"/>
      <c r="CG61" s="23">
        <v>-17598.95</v>
      </c>
      <c r="CH61" s="23">
        <v>-9000</v>
      </c>
      <c r="CI61" s="23"/>
      <c r="CJ61" s="23"/>
      <c r="CK61" s="58"/>
      <c r="CL61" s="23"/>
      <c r="CM61" s="23"/>
      <c r="CN61" s="23"/>
      <c r="CO61" s="23"/>
      <c r="CP61" s="23"/>
      <c r="CQ61" s="23">
        <v>-15000</v>
      </c>
      <c r="CR61" s="23">
        <v>-15000</v>
      </c>
      <c r="CS61" s="23"/>
      <c r="CT61" s="23"/>
      <c r="CU61" s="23"/>
      <c r="CV61" s="23"/>
      <c r="CW61" s="58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</row>
    <row r="62" spans="2:112" x14ac:dyDescent="0.25">
      <c r="B62" s="22" t="s">
        <v>92</v>
      </c>
      <c r="C62" s="31"/>
      <c r="D62" s="23"/>
      <c r="E62" s="25"/>
      <c r="F62" s="23"/>
      <c r="G62" s="23"/>
      <c r="H62" s="24"/>
      <c r="I62" s="24"/>
      <c r="J62" s="24"/>
      <c r="K62" s="24"/>
      <c r="L62" s="24"/>
      <c r="M62" s="31"/>
      <c r="N62" s="24"/>
      <c r="O62" s="24"/>
      <c r="P62" s="24"/>
      <c r="Q62" s="25"/>
      <c r="R62" s="24"/>
      <c r="S62" s="24"/>
      <c r="T62" s="24"/>
      <c r="U62" s="24"/>
      <c r="V62" s="24"/>
      <c r="W62" s="24"/>
      <c r="X62" s="24"/>
      <c r="Y62" s="45"/>
      <c r="Z62" s="23"/>
      <c r="AA62" s="23"/>
      <c r="AB62" s="23"/>
      <c r="AC62" s="34"/>
      <c r="AD62" s="23"/>
      <c r="AF62" s="23"/>
      <c r="AG62" s="23"/>
      <c r="AH62" s="23"/>
      <c r="AI62" s="23"/>
      <c r="AJ62" s="23"/>
      <c r="AK62" s="23"/>
      <c r="AL62" s="23"/>
      <c r="AM62" s="23"/>
      <c r="AN62" s="23"/>
      <c r="AO62" s="58"/>
      <c r="AP62" s="23"/>
      <c r="AQ62" s="24"/>
      <c r="AR62" s="23"/>
      <c r="AS62" s="23"/>
      <c r="AT62" s="23"/>
      <c r="AU62" s="23"/>
      <c r="AV62" s="23"/>
      <c r="AW62" s="23"/>
      <c r="AX62" s="23"/>
      <c r="AY62" s="23"/>
      <c r="AZ62" s="23"/>
      <c r="BA62" s="58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58"/>
      <c r="BN62" s="23"/>
      <c r="BO62" s="23"/>
      <c r="BP62" s="23"/>
      <c r="BQ62" s="23"/>
      <c r="BR62" s="23"/>
      <c r="BS62" s="23"/>
      <c r="BT62" s="44"/>
      <c r="BU62" s="23"/>
      <c r="BV62" s="23"/>
      <c r="BW62" s="23"/>
      <c r="BX62" s="23"/>
      <c r="BY62" s="58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58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58"/>
      <c r="CX62" s="23"/>
      <c r="CY62" s="23"/>
      <c r="CZ62" s="23"/>
      <c r="DA62" s="23">
        <v>-50000</v>
      </c>
      <c r="DB62" s="23">
        <v>-20000</v>
      </c>
      <c r="DC62" s="23"/>
      <c r="DD62" s="23"/>
      <c r="DE62" s="23"/>
      <c r="DF62" s="23"/>
      <c r="DG62" s="23"/>
      <c r="DH62" s="23"/>
    </row>
    <row r="63" spans="2:112" x14ac:dyDescent="0.25">
      <c r="B63" s="22" t="s">
        <v>22</v>
      </c>
      <c r="C63" s="31"/>
      <c r="D63" s="23"/>
      <c r="E63" s="25"/>
      <c r="F63" s="23"/>
      <c r="G63" s="23"/>
      <c r="H63" s="24"/>
      <c r="I63" s="24"/>
      <c r="J63" s="24"/>
      <c r="K63" s="24"/>
      <c r="L63" s="24"/>
      <c r="M63" s="31">
        <v>-10000</v>
      </c>
      <c r="N63" s="24"/>
      <c r="O63" s="24"/>
      <c r="P63" s="24"/>
      <c r="Q63" s="25"/>
      <c r="R63" s="24"/>
      <c r="S63" s="24"/>
      <c r="T63" s="24"/>
      <c r="U63" s="24"/>
      <c r="V63" s="24"/>
      <c r="W63" s="24"/>
      <c r="X63" s="24"/>
      <c r="Z63" s="24"/>
      <c r="AA63" s="31"/>
      <c r="AB63" s="23">
        <v>-20000</v>
      </c>
      <c r="AC63" s="25"/>
      <c r="AD63" s="24"/>
      <c r="AE63" s="24"/>
      <c r="AF63" s="24"/>
      <c r="AG63" s="24"/>
      <c r="AH63" s="24"/>
      <c r="AI63" s="23">
        <v>11266</v>
      </c>
      <c r="AJ63" s="23"/>
      <c r="AK63" s="23">
        <v>-9840</v>
      </c>
      <c r="AL63" s="24"/>
      <c r="AM63" s="24"/>
      <c r="AN63" s="23">
        <f>-15000-5000</f>
        <v>-20000</v>
      </c>
      <c r="AO63" s="58">
        <v>-20000</v>
      </c>
      <c r="AP63" s="23">
        <f>-20000</f>
        <v>-20000</v>
      </c>
      <c r="AQ63" s="23">
        <f>-2524-30000</f>
        <v>-32524</v>
      </c>
      <c r="AR63" s="23">
        <v>-25000</v>
      </c>
      <c r="AS63" s="24"/>
      <c r="AT63" s="24"/>
      <c r="AU63" s="24"/>
      <c r="AV63" s="24"/>
      <c r="AW63" s="24"/>
      <c r="AX63" s="23">
        <v>-20000</v>
      </c>
      <c r="AY63" s="24"/>
      <c r="AZ63" s="24"/>
      <c r="BA63" s="62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62"/>
      <c r="BN63" s="24"/>
      <c r="BO63" s="23">
        <f>-2023+750</f>
        <v>-1273</v>
      </c>
      <c r="BP63" s="24"/>
      <c r="BQ63" s="24"/>
      <c r="BR63" s="24"/>
      <c r="BS63" s="24"/>
      <c r="BU63" s="24"/>
      <c r="BV63" s="24"/>
      <c r="BW63" s="24"/>
      <c r="BX63" s="24"/>
      <c r="BY63" s="62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62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62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</row>
    <row r="64" spans="2:112" x14ac:dyDescent="0.25">
      <c r="B64" s="22" t="s">
        <v>23</v>
      </c>
      <c r="C64" s="31"/>
      <c r="D64" s="23"/>
      <c r="E64" s="25"/>
      <c r="F64" s="23"/>
      <c r="G64" s="23"/>
      <c r="H64" s="24"/>
      <c r="I64" s="24"/>
      <c r="J64" s="24"/>
      <c r="K64" s="24"/>
      <c r="L64" s="24"/>
      <c r="M64" s="31"/>
      <c r="N64" s="24"/>
      <c r="O64" s="24"/>
      <c r="P64" s="23">
        <v>-10000</v>
      </c>
      <c r="Q64" s="25"/>
      <c r="R64" s="24"/>
      <c r="S64" s="24"/>
      <c r="T64" s="24"/>
      <c r="U64" s="23">
        <f>-2*6826</f>
        <v>-13652</v>
      </c>
      <c r="V64" s="24"/>
      <c r="W64" s="24"/>
      <c r="X64" s="24"/>
      <c r="Z64" s="24"/>
      <c r="AA64" s="31"/>
      <c r="AB64" s="24"/>
      <c r="AC64" s="25"/>
      <c r="AD64" s="24"/>
      <c r="AE64" s="24"/>
      <c r="AF64" s="23"/>
      <c r="AG64" s="23">
        <f>-6900</f>
        <v>-6900</v>
      </c>
      <c r="AH64" s="23">
        <f>-6900</f>
        <v>-6900</v>
      </c>
      <c r="AI64" s="24"/>
      <c r="AJ64" s="24"/>
      <c r="AK64" s="24"/>
      <c r="AL64" s="24"/>
      <c r="AM64" s="24"/>
      <c r="AN64" s="24"/>
      <c r="AO64" s="62"/>
      <c r="AP64" s="24"/>
      <c r="AQ64" s="24"/>
      <c r="AR64" s="24"/>
      <c r="AS64" s="24"/>
      <c r="AT64" s="24"/>
      <c r="AU64" s="24"/>
      <c r="AV64" s="24"/>
      <c r="AW64" s="24"/>
      <c r="AX64" s="24"/>
      <c r="AY64" s="23"/>
      <c r="AZ64" s="23">
        <f>2*-6883</f>
        <v>-13766</v>
      </c>
      <c r="BA64" s="62"/>
      <c r="BB64" s="24"/>
      <c r="BD64" s="24"/>
      <c r="BE64" s="43">
        <f>-7056</f>
        <v>-7056</v>
      </c>
      <c r="BF64" s="43">
        <f>-7056</f>
        <v>-7056</v>
      </c>
      <c r="BG64" s="24"/>
      <c r="BH64" s="24"/>
      <c r="BJ64" s="24"/>
      <c r="BK64" s="24"/>
      <c r="BL64" s="24"/>
      <c r="BM64" s="62"/>
      <c r="BN64" s="24"/>
      <c r="BP64" s="24"/>
      <c r="BR64" s="24"/>
      <c r="BS64" s="24"/>
      <c r="BT64" s="24"/>
      <c r="BU64" s="24"/>
      <c r="BV64" s="23">
        <f>2*-7056</f>
        <v>-14112</v>
      </c>
      <c r="BW64" s="24"/>
      <c r="BX64" s="24"/>
      <c r="BY64" s="62"/>
      <c r="BZ64" s="24"/>
      <c r="CB64" s="24"/>
      <c r="CC64" s="23">
        <f>-7056</f>
        <v>-7056</v>
      </c>
      <c r="CD64" s="24"/>
      <c r="CE64" s="24"/>
      <c r="CF64" s="23">
        <f>-7056</f>
        <v>-7056</v>
      </c>
      <c r="CG64" s="24"/>
      <c r="CH64" s="24"/>
      <c r="CI64" s="24"/>
      <c r="CJ64" s="24"/>
      <c r="CK64" s="62"/>
      <c r="CL64" s="24"/>
      <c r="CN64" s="24"/>
      <c r="CO64" s="23">
        <f>2*-7400</f>
        <v>-14800</v>
      </c>
      <c r="CP64" s="24"/>
      <c r="CQ64" s="24"/>
      <c r="CR64" s="24"/>
      <c r="CS64" s="24"/>
      <c r="CT64" s="24"/>
      <c r="CU64" s="24"/>
      <c r="CV64" s="24"/>
      <c r="CW64" s="62"/>
      <c r="CX64" s="24"/>
      <c r="CY64" s="24"/>
      <c r="CZ64" s="23">
        <f>2*-7600</f>
        <v>-15200</v>
      </c>
      <c r="DA64" s="24"/>
      <c r="DB64" s="24"/>
      <c r="DC64" s="24"/>
      <c r="DD64" s="24"/>
      <c r="DE64" s="24"/>
      <c r="DF64" s="24"/>
      <c r="DG64" s="24"/>
      <c r="DH64" s="24"/>
    </row>
    <row r="65" spans="2:112" x14ac:dyDescent="0.25">
      <c r="B65" s="22" t="s">
        <v>35</v>
      </c>
      <c r="C65" s="31"/>
      <c r="D65" s="23"/>
      <c r="E65" s="25"/>
      <c r="F65" s="23"/>
      <c r="G65" s="23"/>
      <c r="H65" s="24"/>
      <c r="I65" s="24"/>
      <c r="J65" s="24"/>
      <c r="K65" s="24"/>
      <c r="L65" s="24"/>
      <c r="M65" s="31"/>
      <c r="N65" s="24"/>
      <c r="O65" s="24"/>
      <c r="P65" s="23"/>
      <c r="Q65" s="25"/>
      <c r="R65" s="24"/>
      <c r="S65" s="24"/>
      <c r="T65" s="24"/>
      <c r="U65" s="23"/>
      <c r="V65" s="24"/>
      <c r="W65" s="24"/>
      <c r="X65" s="24"/>
      <c r="Z65" s="24"/>
      <c r="AA65" s="31"/>
      <c r="AB65" s="24"/>
      <c r="AC65" s="25"/>
      <c r="AD65" s="24"/>
      <c r="AE65" s="24"/>
      <c r="AF65" s="23"/>
      <c r="AG65" s="23"/>
      <c r="AH65" s="23"/>
      <c r="AI65" s="24"/>
      <c r="AJ65" s="24"/>
      <c r="AK65" s="24"/>
      <c r="AL65" s="24"/>
      <c r="AM65" s="24"/>
      <c r="AN65" s="23">
        <v>-40000</v>
      </c>
      <c r="AO65" s="62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62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62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62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62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62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</row>
    <row r="66" spans="2:112" x14ac:dyDescent="0.25">
      <c r="B66" s="22" t="s">
        <v>38</v>
      </c>
      <c r="C66" s="31"/>
      <c r="D66" s="23"/>
      <c r="E66" s="25"/>
      <c r="F66" s="23"/>
      <c r="G66" s="23"/>
      <c r="H66" s="24"/>
      <c r="I66" s="24"/>
      <c r="J66" s="24"/>
      <c r="K66" s="24"/>
      <c r="L66" s="24"/>
      <c r="M66" s="31"/>
      <c r="N66" s="24"/>
      <c r="O66" s="24"/>
      <c r="P66" s="23"/>
      <c r="Q66" s="25"/>
      <c r="R66" s="24"/>
      <c r="S66" s="24"/>
      <c r="T66" s="24"/>
      <c r="U66" s="23"/>
      <c r="V66" s="24"/>
      <c r="W66" s="24"/>
      <c r="X66" s="24"/>
      <c r="Z66" s="24"/>
      <c r="AA66" s="31"/>
      <c r="AB66" s="24"/>
      <c r="AC66" s="25"/>
      <c r="AD66" s="24"/>
      <c r="AE66" s="24"/>
      <c r="AF66" s="23"/>
      <c r="AG66" s="23"/>
      <c r="AH66" s="23"/>
      <c r="AI66" s="24"/>
      <c r="AJ66" s="24"/>
      <c r="AK66" s="24"/>
      <c r="AL66" s="24"/>
      <c r="AM66" s="24"/>
      <c r="AN66" s="23"/>
      <c r="AO66" s="62"/>
      <c r="AP66" s="24"/>
      <c r="AQ66" s="24"/>
      <c r="AR66" s="24"/>
      <c r="AS66" s="24"/>
      <c r="AT66" s="24"/>
      <c r="AU66" s="24"/>
      <c r="AV66" s="24"/>
      <c r="AW66" s="73">
        <v>10000</v>
      </c>
      <c r="AX66" s="73">
        <v>20000</v>
      </c>
      <c r="AY66" s="24"/>
      <c r="AZ66" s="73">
        <v>1462</v>
      </c>
      <c r="BA66" s="62"/>
      <c r="BB66" s="24"/>
      <c r="BC66" s="24"/>
      <c r="BD66" s="24"/>
      <c r="BE66" s="24"/>
      <c r="BF66" s="24"/>
      <c r="BG66" s="24"/>
      <c r="BH66" s="24"/>
      <c r="BI66" s="24"/>
      <c r="BJ66" s="73">
        <v>4000</v>
      </c>
      <c r="BK66" s="24"/>
      <c r="BL66" s="24"/>
      <c r="BM66" s="62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62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62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62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</row>
    <row r="67" spans="2:112" x14ac:dyDescent="0.25">
      <c r="B67" s="22" t="s">
        <v>63</v>
      </c>
      <c r="C67" s="31"/>
      <c r="D67" s="23"/>
      <c r="E67" s="25"/>
      <c r="F67" s="23"/>
      <c r="G67" s="23"/>
      <c r="H67" s="24"/>
      <c r="I67" s="24"/>
      <c r="J67" s="24"/>
      <c r="K67" s="24"/>
      <c r="L67" s="24"/>
      <c r="M67" s="31"/>
      <c r="N67" s="24"/>
      <c r="O67" s="24"/>
      <c r="P67" s="23"/>
      <c r="Q67" s="25"/>
      <c r="R67" s="24"/>
      <c r="S67" s="24"/>
      <c r="T67" s="24"/>
      <c r="U67" s="23"/>
      <c r="V67" s="24"/>
      <c r="W67" s="24"/>
      <c r="X67" s="24"/>
      <c r="Z67" s="24"/>
      <c r="AA67" s="31"/>
      <c r="AB67" s="24"/>
      <c r="AC67" s="25"/>
      <c r="AD67" s="24"/>
      <c r="AE67" s="24"/>
      <c r="AF67" s="23"/>
      <c r="AG67" s="23"/>
      <c r="AH67" s="23"/>
      <c r="AI67" s="24"/>
      <c r="AJ67" s="24"/>
      <c r="AK67" s="24"/>
      <c r="AL67" s="24"/>
      <c r="AM67" s="24"/>
      <c r="AN67" s="23"/>
      <c r="AO67" s="62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62"/>
      <c r="BB67" s="24"/>
      <c r="BC67" s="24"/>
      <c r="BD67" s="24"/>
      <c r="BE67" s="24"/>
      <c r="BF67" s="24"/>
      <c r="BG67" s="24"/>
      <c r="BH67" s="73">
        <v>1500</v>
      </c>
      <c r="BI67" s="73">
        <v>1500</v>
      </c>
      <c r="BJ67" s="73">
        <v>3000</v>
      </c>
      <c r="BK67" s="24"/>
      <c r="BL67" s="24"/>
      <c r="BM67" s="62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62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62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62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</row>
    <row r="68" spans="2:112" x14ac:dyDescent="0.25">
      <c r="B68" s="22" t="s">
        <v>16</v>
      </c>
      <c r="C68" s="31"/>
      <c r="D68" s="23"/>
      <c r="E68" s="25"/>
      <c r="F68" s="24"/>
      <c r="G68" s="24"/>
      <c r="H68" s="24"/>
      <c r="I68" s="24"/>
      <c r="J68" s="32">
        <v>-15000</v>
      </c>
      <c r="K68" s="24"/>
      <c r="L68" s="24"/>
      <c r="M68" s="24"/>
      <c r="N68" s="24"/>
      <c r="O68" s="24"/>
      <c r="P68" s="23"/>
      <c r="Q68" s="25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5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62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62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62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62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62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62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</row>
    <row r="69" spans="2:112" s="1" customFormat="1" x14ac:dyDescent="0.25">
      <c r="B69" s="15" t="s">
        <v>10</v>
      </c>
      <c r="C69" s="16">
        <f t="shared" ref="C69:AH69" si="645">SUM(C16:C68)</f>
        <v>0</v>
      </c>
      <c r="D69" s="16">
        <f t="shared" si="645"/>
        <v>3700</v>
      </c>
      <c r="E69" s="17">
        <f t="shared" si="645"/>
        <v>3700</v>
      </c>
      <c r="F69" s="16">
        <f t="shared" si="645"/>
        <v>24183</v>
      </c>
      <c r="G69" s="16">
        <f t="shared" si="645"/>
        <v>-16300</v>
      </c>
      <c r="H69" s="16">
        <f t="shared" si="645"/>
        <v>3700</v>
      </c>
      <c r="I69" s="16">
        <f t="shared" si="645"/>
        <v>3700</v>
      </c>
      <c r="J69" s="16">
        <f t="shared" si="645"/>
        <v>-9000</v>
      </c>
      <c r="K69" s="16">
        <f t="shared" si="645"/>
        <v>7800</v>
      </c>
      <c r="L69" s="16">
        <f t="shared" si="645"/>
        <v>12300</v>
      </c>
      <c r="M69" s="16">
        <f t="shared" si="645"/>
        <v>-80200</v>
      </c>
      <c r="N69" s="16">
        <f t="shared" si="645"/>
        <v>9800</v>
      </c>
      <c r="O69" s="16">
        <f t="shared" si="645"/>
        <v>9800</v>
      </c>
      <c r="P69" s="16">
        <f t="shared" si="645"/>
        <v>-12000</v>
      </c>
      <c r="Q69" s="17">
        <f t="shared" si="645"/>
        <v>3985</v>
      </c>
      <c r="R69" s="16">
        <f t="shared" si="645"/>
        <v>19500</v>
      </c>
      <c r="S69" s="16">
        <f t="shared" si="645"/>
        <v>4500</v>
      </c>
      <c r="T69" s="16">
        <f t="shared" si="645"/>
        <v>4500</v>
      </c>
      <c r="U69" s="16">
        <f t="shared" si="645"/>
        <v>2348</v>
      </c>
      <c r="V69" s="16">
        <f t="shared" si="645"/>
        <v>-9275</v>
      </c>
      <c r="W69" s="16">
        <f t="shared" si="645"/>
        <v>8500</v>
      </c>
      <c r="X69" s="16">
        <f t="shared" si="645"/>
        <v>8500</v>
      </c>
      <c r="Y69" s="16">
        <f t="shared" si="645"/>
        <v>8500</v>
      </c>
      <c r="Z69" s="16">
        <f t="shared" si="645"/>
        <v>7700</v>
      </c>
      <c r="AA69" s="16">
        <f t="shared" si="645"/>
        <v>4700</v>
      </c>
      <c r="AB69" s="16">
        <f t="shared" si="645"/>
        <v>-46420</v>
      </c>
      <c r="AC69" s="17">
        <f t="shared" si="645"/>
        <v>18330</v>
      </c>
      <c r="AD69" s="16">
        <f t="shared" si="645"/>
        <v>-21565</v>
      </c>
      <c r="AE69" s="16">
        <f t="shared" si="645"/>
        <v>32080</v>
      </c>
      <c r="AF69" s="16">
        <f t="shared" si="645"/>
        <v>22080</v>
      </c>
      <c r="AG69" s="16">
        <f t="shared" si="645"/>
        <v>-20</v>
      </c>
      <c r="AH69" s="16">
        <f t="shared" si="645"/>
        <v>-1028</v>
      </c>
      <c r="AI69" s="16">
        <f t="shared" ref="AI69:BN69" si="646">SUM(AI16:AI68)</f>
        <v>4138</v>
      </c>
      <c r="AJ69" s="16">
        <f t="shared" si="646"/>
        <v>11522</v>
      </c>
      <c r="AK69" s="16">
        <f t="shared" si="646"/>
        <v>8074</v>
      </c>
      <c r="AL69" s="16">
        <f t="shared" si="646"/>
        <v>36556</v>
      </c>
      <c r="AM69" s="16">
        <f t="shared" si="646"/>
        <v>19194</v>
      </c>
      <c r="AN69" s="16">
        <f t="shared" si="646"/>
        <v>-49306</v>
      </c>
      <c r="AO69" s="63">
        <f t="shared" si="646"/>
        <v>871.19999999999709</v>
      </c>
      <c r="AP69" s="16">
        <f t="shared" si="646"/>
        <v>-37195.9</v>
      </c>
      <c r="AQ69" s="16">
        <f t="shared" si="646"/>
        <v>-14583</v>
      </c>
      <c r="AR69" s="16">
        <f t="shared" si="646"/>
        <v>-29546.7</v>
      </c>
      <c r="AS69" s="16">
        <f t="shared" si="646"/>
        <v>8292.0999999999985</v>
      </c>
      <c r="AT69" s="16">
        <f t="shared" si="646"/>
        <v>-3077.2000000000007</v>
      </c>
      <c r="AU69" s="16">
        <f t="shared" si="646"/>
        <v>-6624.7000000000007</v>
      </c>
      <c r="AV69" s="16">
        <f t="shared" si="646"/>
        <v>-5606</v>
      </c>
      <c r="AW69" s="16">
        <f t="shared" si="646"/>
        <v>9541.7000000000007</v>
      </c>
      <c r="AX69" s="16">
        <f t="shared" si="646"/>
        <v>14889.599999999999</v>
      </c>
      <c r="AY69" s="16">
        <f t="shared" si="646"/>
        <v>2505</v>
      </c>
      <c r="AZ69" s="16">
        <f t="shared" si="646"/>
        <v>-3567.5999999999985</v>
      </c>
      <c r="BA69" s="63">
        <f t="shared" si="646"/>
        <v>-15756</v>
      </c>
      <c r="BB69" s="16">
        <f t="shared" si="646"/>
        <v>1989</v>
      </c>
      <c r="BC69" s="16">
        <f t="shared" si="646"/>
        <v>16247</v>
      </c>
      <c r="BD69" s="16">
        <f t="shared" si="646"/>
        <v>1723</v>
      </c>
      <c r="BE69" s="16">
        <f t="shared" si="646"/>
        <v>-11344</v>
      </c>
      <c r="BF69" s="16">
        <f t="shared" si="646"/>
        <v>-11344</v>
      </c>
      <c r="BG69" s="16">
        <f t="shared" si="646"/>
        <v>-4288</v>
      </c>
      <c r="BH69" s="16">
        <f t="shared" si="646"/>
        <v>-2788</v>
      </c>
      <c r="BI69" s="16">
        <f t="shared" si="646"/>
        <v>-2788</v>
      </c>
      <c r="BJ69" s="16">
        <f t="shared" si="646"/>
        <v>2712</v>
      </c>
      <c r="BK69" s="16">
        <f t="shared" si="646"/>
        <v>15712</v>
      </c>
      <c r="BL69" s="16">
        <f t="shared" si="646"/>
        <v>-14688</v>
      </c>
      <c r="BM69" s="63">
        <f t="shared" si="646"/>
        <v>17390.52</v>
      </c>
      <c r="BN69" s="16">
        <f t="shared" si="646"/>
        <v>191.03000000000065</v>
      </c>
      <c r="BO69" s="16">
        <f t="shared" ref="BO69:BX69" si="647">SUM(BO16:BO68)</f>
        <v>37618</v>
      </c>
      <c r="BP69" s="16">
        <f t="shared" si="647"/>
        <v>-29327</v>
      </c>
      <c r="BQ69" s="16">
        <f t="shared" si="647"/>
        <v>-7280</v>
      </c>
      <c r="BR69" s="16">
        <f t="shared" si="647"/>
        <v>-3710</v>
      </c>
      <c r="BS69" s="16">
        <f t="shared" si="647"/>
        <v>-3710</v>
      </c>
      <c r="BT69" s="16">
        <f t="shared" si="647"/>
        <v>15780</v>
      </c>
      <c r="BU69" s="16">
        <f t="shared" si="647"/>
        <v>-2720</v>
      </c>
      <c r="BV69" s="16">
        <f t="shared" si="647"/>
        <v>-16832</v>
      </c>
      <c r="BW69" s="16">
        <f t="shared" si="647"/>
        <v>-2720</v>
      </c>
      <c r="BX69" s="16">
        <f t="shared" si="647"/>
        <v>37280</v>
      </c>
      <c r="BY69" s="63">
        <f t="shared" ref="BY69" si="648">SUM(BY16:BY68)</f>
        <v>3168</v>
      </c>
      <c r="BZ69" s="16">
        <f t="shared" ref="BZ69:CV69" si="649">SUM(BZ16:BZ68)</f>
        <v>-9459</v>
      </c>
      <c r="CA69" s="16">
        <f t="shared" si="649"/>
        <v>-950</v>
      </c>
      <c r="CB69" s="16">
        <f t="shared" si="649"/>
        <v>67750</v>
      </c>
      <c r="CC69" s="16">
        <f t="shared" si="649"/>
        <v>-8006</v>
      </c>
      <c r="CD69" s="16">
        <f t="shared" si="649"/>
        <v>-5950</v>
      </c>
      <c r="CE69" s="16">
        <f t="shared" si="649"/>
        <v>1274</v>
      </c>
      <c r="CF69" s="16">
        <f t="shared" si="649"/>
        <v>-6006</v>
      </c>
      <c r="CG69" s="16">
        <f t="shared" si="649"/>
        <v>-21002.95</v>
      </c>
      <c r="CH69" s="16">
        <f t="shared" si="649"/>
        <v>39096</v>
      </c>
      <c r="CI69" s="16">
        <f t="shared" si="649"/>
        <v>4271</v>
      </c>
      <c r="CJ69" s="16">
        <f t="shared" si="649"/>
        <v>-729</v>
      </c>
      <c r="CK69" s="63">
        <f t="shared" si="649"/>
        <v>11771</v>
      </c>
      <c r="CL69" s="16">
        <f t="shared" si="649"/>
        <v>11771</v>
      </c>
      <c r="CM69" s="16">
        <f t="shared" si="649"/>
        <v>53208.5</v>
      </c>
      <c r="CN69" s="16">
        <f t="shared" si="649"/>
        <v>11771</v>
      </c>
      <c r="CO69" s="16">
        <f t="shared" si="649"/>
        <v>-3029</v>
      </c>
      <c r="CP69" s="16">
        <f t="shared" si="649"/>
        <v>11771</v>
      </c>
      <c r="CQ69" s="16">
        <f t="shared" si="649"/>
        <v>-3229</v>
      </c>
      <c r="CR69" s="16">
        <f t="shared" si="649"/>
        <v>-3229</v>
      </c>
      <c r="CS69" s="16">
        <f t="shared" si="649"/>
        <v>11771</v>
      </c>
      <c r="CT69" s="16">
        <f t="shared" si="649"/>
        <v>11771</v>
      </c>
      <c r="CU69" s="16">
        <f t="shared" si="649"/>
        <v>11771</v>
      </c>
      <c r="CV69" s="16">
        <f t="shared" si="649"/>
        <v>11771</v>
      </c>
      <c r="CW69" s="63">
        <f t="shared" ref="CW69:DH69" si="650">SUM(CW16:CW68)</f>
        <v>11771</v>
      </c>
      <c r="CX69" s="16">
        <f t="shared" si="650"/>
        <v>11771</v>
      </c>
      <c r="CY69" s="16">
        <f t="shared" si="650"/>
        <v>11771</v>
      </c>
      <c r="CZ69" s="16">
        <f t="shared" si="650"/>
        <v>-3429</v>
      </c>
      <c r="DA69" s="16">
        <f t="shared" si="650"/>
        <v>-38229</v>
      </c>
      <c r="DB69" s="16">
        <f t="shared" si="650"/>
        <v>-8229</v>
      </c>
      <c r="DC69" s="16">
        <f t="shared" si="650"/>
        <v>11771</v>
      </c>
      <c r="DD69" s="16">
        <f t="shared" si="650"/>
        <v>11771</v>
      </c>
      <c r="DE69" s="16">
        <f t="shared" si="650"/>
        <v>11771</v>
      </c>
      <c r="DF69" s="16">
        <f t="shared" si="650"/>
        <v>11771</v>
      </c>
      <c r="DG69" s="16">
        <f t="shared" si="650"/>
        <v>11771</v>
      </c>
      <c r="DH69" s="16">
        <f t="shared" si="650"/>
        <v>11771</v>
      </c>
    </row>
    <row r="70" spans="2:112" x14ac:dyDescent="0.25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54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</row>
    <row r="71" spans="2:112" x14ac:dyDescent="0.25">
      <c r="B71" t="s">
        <v>93</v>
      </c>
      <c r="C71" s="3"/>
      <c r="D71" s="3">
        <f>SUM(D26:D64)</f>
        <v>-17900</v>
      </c>
      <c r="E71" s="3">
        <f t="shared" ref="E71:BP71" si="651">SUM(E26:E64)</f>
        <v>-17900</v>
      </c>
      <c r="F71" s="3">
        <f t="shared" si="651"/>
        <v>-24417</v>
      </c>
      <c r="G71" s="3">
        <f t="shared" si="651"/>
        <v>-37900</v>
      </c>
      <c r="H71" s="3">
        <f t="shared" si="651"/>
        <v>-17900</v>
      </c>
      <c r="I71" s="3">
        <f t="shared" si="651"/>
        <v>-17900</v>
      </c>
      <c r="J71" s="3">
        <f t="shared" si="651"/>
        <v>-15600</v>
      </c>
      <c r="K71" s="3">
        <f t="shared" si="651"/>
        <v>-13800</v>
      </c>
      <c r="L71" s="3">
        <f t="shared" si="651"/>
        <v>-16800</v>
      </c>
      <c r="M71" s="3">
        <f t="shared" si="651"/>
        <v>-101800</v>
      </c>
      <c r="N71" s="3">
        <f t="shared" si="651"/>
        <v>-11800</v>
      </c>
      <c r="O71" s="3">
        <f t="shared" si="651"/>
        <v>-11800</v>
      </c>
      <c r="P71" s="3">
        <f t="shared" si="651"/>
        <v>-21800</v>
      </c>
      <c r="Q71" s="3">
        <f t="shared" si="651"/>
        <v>-12315</v>
      </c>
      <c r="R71" s="3">
        <f t="shared" si="651"/>
        <v>-11800</v>
      </c>
      <c r="S71" s="3">
        <f t="shared" si="651"/>
        <v>-11800</v>
      </c>
      <c r="T71" s="3">
        <f t="shared" si="651"/>
        <v>-11800</v>
      </c>
      <c r="U71" s="3">
        <f t="shared" si="651"/>
        <v>-21452</v>
      </c>
      <c r="V71" s="3">
        <f t="shared" si="651"/>
        <v>-25575</v>
      </c>
      <c r="W71" s="3">
        <f t="shared" si="651"/>
        <v>-7800</v>
      </c>
      <c r="X71" s="3">
        <f t="shared" si="651"/>
        <v>-7800</v>
      </c>
      <c r="Y71" s="3">
        <f t="shared" si="651"/>
        <v>-7800</v>
      </c>
      <c r="Z71" s="3">
        <f t="shared" si="651"/>
        <v>-8600</v>
      </c>
      <c r="AA71" s="3">
        <f t="shared" si="651"/>
        <v>-11600</v>
      </c>
      <c r="AB71" s="3">
        <f t="shared" si="651"/>
        <v>-63720</v>
      </c>
      <c r="AC71" s="3">
        <f t="shared" si="651"/>
        <v>-7970</v>
      </c>
      <c r="AD71" s="3">
        <f t="shared" si="651"/>
        <v>-60865</v>
      </c>
      <c r="AE71" s="3">
        <f t="shared" si="651"/>
        <v>-8220</v>
      </c>
      <c r="AF71" s="3">
        <f t="shared" si="651"/>
        <v>-14220</v>
      </c>
      <c r="AG71" s="3">
        <f t="shared" si="651"/>
        <v>-21120</v>
      </c>
      <c r="AH71" s="3">
        <f t="shared" si="651"/>
        <v>-22128</v>
      </c>
      <c r="AI71" s="3">
        <f t="shared" si="651"/>
        <v>-16962</v>
      </c>
      <c r="AJ71" s="3">
        <f t="shared" si="651"/>
        <v>-10478</v>
      </c>
      <c r="AK71" s="3">
        <f t="shared" si="651"/>
        <v>-23376</v>
      </c>
      <c r="AL71" s="3">
        <f t="shared" si="651"/>
        <v>9076</v>
      </c>
      <c r="AM71" s="3">
        <f t="shared" si="651"/>
        <v>-13786</v>
      </c>
      <c r="AN71" s="3">
        <f t="shared" si="651"/>
        <v>-33786</v>
      </c>
      <c r="AO71" s="3">
        <f t="shared" si="651"/>
        <v>-35286</v>
      </c>
      <c r="AP71" s="3">
        <f t="shared" si="651"/>
        <v>-63286</v>
      </c>
      <c r="AQ71" s="3">
        <f t="shared" si="651"/>
        <v>-47810</v>
      </c>
      <c r="AR71" s="3">
        <f t="shared" si="651"/>
        <v>-45387</v>
      </c>
      <c r="AS71" s="3">
        <f t="shared" si="651"/>
        <v>-21036</v>
      </c>
      <c r="AT71" s="3">
        <f t="shared" si="651"/>
        <v>-15286</v>
      </c>
      <c r="AU71" s="3">
        <f t="shared" si="651"/>
        <v>-27686</v>
      </c>
      <c r="AV71" s="3">
        <f t="shared" si="651"/>
        <v>-15286</v>
      </c>
      <c r="AW71" s="3">
        <f t="shared" si="651"/>
        <v>-15286</v>
      </c>
      <c r="AX71" s="3">
        <f t="shared" si="651"/>
        <v>-35286</v>
      </c>
      <c r="AY71" s="3">
        <f t="shared" si="651"/>
        <v>-18236</v>
      </c>
      <c r="AZ71" s="3">
        <f t="shared" si="651"/>
        <v>-29052</v>
      </c>
      <c r="BA71" s="3">
        <f t="shared" si="651"/>
        <v>-37286</v>
      </c>
      <c r="BB71" s="3">
        <f t="shared" si="651"/>
        <v>-11909</v>
      </c>
      <c r="BC71" s="3">
        <f t="shared" si="651"/>
        <v>-25286</v>
      </c>
      <c r="BD71" s="3">
        <f t="shared" si="651"/>
        <v>-7957</v>
      </c>
      <c r="BE71" s="3">
        <f t="shared" si="651"/>
        <v>-21024</v>
      </c>
      <c r="BF71" s="3">
        <f t="shared" si="651"/>
        <v>-21024</v>
      </c>
      <c r="BG71" s="3">
        <f t="shared" si="651"/>
        <v>-13968</v>
      </c>
      <c r="BH71" s="3">
        <f t="shared" si="651"/>
        <v>-13968</v>
      </c>
      <c r="BI71" s="3">
        <f t="shared" si="651"/>
        <v>-13968</v>
      </c>
      <c r="BJ71" s="3">
        <f t="shared" si="651"/>
        <v>-13968</v>
      </c>
      <c r="BK71" s="3">
        <f t="shared" si="651"/>
        <v>-13968</v>
      </c>
      <c r="BL71" s="3">
        <f t="shared" si="651"/>
        <v>-25368</v>
      </c>
      <c r="BM71" s="3">
        <f t="shared" si="651"/>
        <v>-12289.48</v>
      </c>
      <c r="BN71" s="3">
        <f t="shared" si="651"/>
        <v>-16488.97</v>
      </c>
      <c r="BO71" s="3">
        <f t="shared" si="651"/>
        <v>-25995</v>
      </c>
      <c r="BP71" s="3">
        <f t="shared" si="651"/>
        <v>-39007</v>
      </c>
      <c r="BQ71" s="3">
        <f t="shared" ref="BQ71:DH71" si="652">SUM(BQ26:BQ64)</f>
        <v>-16960</v>
      </c>
      <c r="BR71" s="3">
        <f t="shared" si="652"/>
        <v>-16460</v>
      </c>
      <c r="BS71" s="3">
        <f t="shared" si="652"/>
        <v>-16460</v>
      </c>
      <c r="BT71" s="3">
        <f t="shared" si="652"/>
        <v>-16970</v>
      </c>
      <c r="BU71" s="3">
        <f t="shared" si="652"/>
        <v>-15470</v>
      </c>
      <c r="BV71" s="3">
        <f t="shared" si="652"/>
        <v>-29582</v>
      </c>
      <c r="BW71" s="3">
        <f t="shared" si="652"/>
        <v>-15470</v>
      </c>
      <c r="BX71" s="3">
        <f t="shared" si="652"/>
        <v>-15470</v>
      </c>
      <c r="BY71" s="3">
        <f t="shared" si="652"/>
        <v>-9582</v>
      </c>
      <c r="BZ71" s="3">
        <f t="shared" si="652"/>
        <v>-22209</v>
      </c>
      <c r="CA71" s="3">
        <f t="shared" si="652"/>
        <v>-13700</v>
      </c>
      <c r="CB71" s="3">
        <f t="shared" si="652"/>
        <v>-20700</v>
      </c>
      <c r="CC71" s="3">
        <f t="shared" si="652"/>
        <v>-20756</v>
      </c>
      <c r="CD71" s="3">
        <f t="shared" si="652"/>
        <v>-18700</v>
      </c>
      <c r="CE71" s="3">
        <f t="shared" si="652"/>
        <v>-49476</v>
      </c>
      <c r="CF71" s="3">
        <f t="shared" si="652"/>
        <v>-25756</v>
      </c>
      <c r="CG71" s="3">
        <f t="shared" si="652"/>
        <v>-30002.95</v>
      </c>
      <c r="CH71" s="3">
        <f t="shared" si="652"/>
        <v>-29904</v>
      </c>
      <c r="CI71" s="3">
        <f t="shared" si="652"/>
        <v>-12904</v>
      </c>
      <c r="CJ71" s="3">
        <f t="shared" si="652"/>
        <v>-17904</v>
      </c>
      <c r="CK71" s="3">
        <f t="shared" si="652"/>
        <v>-15404</v>
      </c>
      <c r="CL71" s="3">
        <f t="shared" si="652"/>
        <v>-15404</v>
      </c>
      <c r="CM71" s="3">
        <f t="shared" si="652"/>
        <v>-15404</v>
      </c>
      <c r="CN71" s="3">
        <f t="shared" si="652"/>
        <v>-15404</v>
      </c>
      <c r="CO71" s="3">
        <f t="shared" si="652"/>
        <v>-30204</v>
      </c>
      <c r="CP71" s="3">
        <f t="shared" si="652"/>
        <v>-15404</v>
      </c>
      <c r="CQ71" s="3">
        <f t="shared" si="652"/>
        <v>-30404</v>
      </c>
      <c r="CR71" s="3">
        <f t="shared" si="652"/>
        <v>-30404</v>
      </c>
      <c r="CS71" s="3">
        <f t="shared" si="652"/>
        <v>-15404</v>
      </c>
      <c r="CT71" s="3">
        <f t="shared" si="652"/>
        <v>-15404</v>
      </c>
      <c r="CU71" s="3">
        <f t="shared" si="652"/>
        <v>-15404</v>
      </c>
      <c r="CV71" s="3">
        <f t="shared" si="652"/>
        <v>-15404</v>
      </c>
      <c r="CW71" s="3">
        <f t="shared" si="652"/>
        <v>-15404</v>
      </c>
      <c r="CX71" s="3">
        <f t="shared" si="652"/>
        <v>-15404</v>
      </c>
      <c r="CY71" s="3">
        <f t="shared" si="652"/>
        <v>-15404</v>
      </c>
      <c r="CZ71" s="3">
        <f t="shared" si="652"/>
        <v>-30604</v>
      </c>
      <c r="DA71" s="3">
        <f t="shared" si="652"/>
        <v>-65404</v>
      </c>
      <c r="DB71" s="3">
        <f t="shared" si="652"/>
        <v>-35404</v>
      </c>
      <c r="DC71" s="3">
        <f t="shared" si="652"/>
        <v>-15404</v>
      </c>
      <c r="DD71" s="3">
        <f t="shared" si="652"/>
        <v>-15404</v>
      </c>
      <c r="DE71" s="3">
        <f t="shared" si="652"/>
        <v>-15404</v>
      </c>
      <c r="DF71" s="3">
        <f t="shared" si="652"/>
        <v>-15404</v>
      </c>
      <c r="DG71" s="3">
        <f t="shared" si="652"/>
        <v>-15404</v>
      </c>
      <c r="DH71" s="3">
        <f t="shared" si="652"/>
        <v>-15404</v>
      </c>
    </row>
    <row r="72" spans="2:112" x14ac:dyDescent="0.25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</row>
    <row r="73" spans="2:112" x14ac:dyDescent="0.25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</row>
    <row r="74" spans="2:112" x14ac:dyDescent="0.25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</row>
    <row r="75" spans="2:112" x14ac:dyDescent="0.25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4FC8B-B7B1-4D3A-AB52-6B8B6A1F4FD6}">
  <dimension ref="B2:I37"/>
  <sheetViews>
    <sheetView workbookViewId="0">
      <selection activeCell="C23" sqref="C23"/>
    </sheetView>
  </sheetViews>
  <sheetFormatPr defaultRowHeight="15" x14ac:dyDescent="0.25"/>
  <cols>
    <col min="2" max="3" width="18.85546875" customWidth="1"/>
    <col min="4" max="4" width="9.7109375" bestFit="1" customWidth="1"/>
    <col min="7" max="7" width="14.140625" customWidth="1"/>
    <col min="8" max="8" width="11.7109375" customWidth="1"/>
    <col min="9" max="9" width="9.85546875" customWidth="1"/>
  </cols>
  <sheetData>
    <row r="2" spans="2:9" x14ac:dyDescent="0.25">
      <c r="D2" s="74">
        <f>SUM(D4:D24)</f>
        <v>3190</v>
      </c>
      <c r="G2" s="1" t="s">
        <v>59</v>
      </c>
    </row>
    <row r="3" spans="2:9" x14ac:dyDescent="0.25">
      <c r="B3" s="1" t="s">
        <v>39</v>
      </c>
      <c r="C3" s="1" t="s">
        <v>45</v>
      </c>
      <c r="D3" t="s">
        <v>41</v>
      </c>
      <c r="E3" t="s">
        <v>42</v>
      </c>
      <c r="G3" t="s">
        <v>60</v>
      </c>
      <c r="H3" s="65">
        <v>44812</v>
      </c>
      <c r="I3">
        <v>500</v>
      </c>
    </row>
    <row r="4" spans="2:9" x14ac:dyDescent="0.25">
      <c r="B4" t="s">
        <v>40</v>
      </c>
      <c r="D4" s="3">
        <v>190</v>
      </c>
      <c r="E4" s="3"/>
    </row>
    <row r="5" spans="2:9" x14ac:dyDescent="0.25">
      <c r="B5" t="s">
        <v>43</v>
      </c>
      <c r="D5" s="3">
        <v>1000</v>
      </c>
      <c r="E5" s="3"/>
    </row>
    <row r="6" spans="2:9" x14ac:dyDescent="0.25">
      <c r="B6" t="s">
        <v>43</v>
      </c>
      <c r="D6" s="3">
        <v>1000</v>
      </c>
      <c r="E6" s="3"/>
    </row>
    <row r="7" spans="2:9" x14ac:dyDescent="0.25">
      <c r="B7" t="s">
        <v>43</v>
      </c>
      <c r="D7" s="3">
        <v>1000</v>
      </c>
      <c r="E7" s="3"/>
    </row>
    <row r="8" spans="2:9" x14ac:dyDescent="0.25">
      <c r="B8" t="s">
        <v>43</v>
      </c>
      <c r="D8" s="3">
        <v>1000</v>
      </c>
      <c r="E8" s="3"/>
    </row>
    <row r="9" spans="2:9" x14ac:dyDescent="0.25">
      <c r="B9" t="s">
        <v>43</v>
      </c>
      <c r="D9" s="3">
        <v>1000</v>
      </c>
      <c r="E9" s="3"/>
    </row>
    <row r="10" spans="2:9" x14ac:dyDescent="0.25">
      <c r="B10" t="s">
        <v>43</v>
      </c>
      <c r="D10" s="3">
        <v>1000</v>
      </c>
      <c r="E10" s="3"/>
    </row>
    <row r="11" spans="2:9" x14ac:dyDescent="0.25">
      <c r="B11" s="75">
        <v>2021</v>
      </c>
      <c r="C11" s="75"/>
      <c r="D11" s="3">
        <v>2000</v>
      </c>
      <c r="E11" s="3"/>
    </row>
    <row r="12" spans="2:9" x14ac:dyDescent="0.25">
      <c r="B12" t="s">
        <v>46</v>
      </c>
      <c r="C12" t="s">
        <v>47</v>
      </c>
      <c r="D12" s="3">
        <v>-3500</v>
      </c>
      <c r="E12" s="3"/>
    </row>
    <row r="13" spans="2:9" x14ac:dyDescent="0.25">
      <c r="B13" t="s">
        <v>43</v>
      </c>
      <c r="C13" t="s">
        <v>47</v>
      </c>
      <c r="D13" s="3">
        <v>3500</v>
      </c>
      <c r="E13" s="3"/>
    </row>
    <row r="14" spans="2:9" x14ac:dyDescent="0.25">
      <c r="B14" t="s">
        <v>46</v>
      </c>
      <c r="C14" t="s">
        <v>44</v>
      </c>
      <c r="D14" s="3">
        <v>-3000</v>
      </c>
      <c r="E14" s="3"/>
    </row>
    <row r="15" spans="2:9" x14ac:dyDescent="0.25">
      <c r="B15" t="s">
        <v>48</v>
      </c>
      <c r="C15" t="s">
        <v>49</v>
      </c>
      <c r="D15" s="3">
        <v>2000</v>
      </c>
      <c r="E15" s="3"/>
    </row>
    <row r="16" spans="2:9" x14ac:dyDescent="0.25">
      <c r="B16" t="s">
        <v>46</v>
      </c>
      <c r="C16" t="s">
        <v>50</v>
      </c>
      <c r="D16" s="3">
        <v>-3000</v>
      </c>
      <c r="E16" s="3"/>
    </row>
    <row r="17" spans="2:5" x14ac:dyDescent="0.25">
      <c r="B17" t="s">
        <v>43</v>
      </c>
      <c r="C17" t="s">
        <v>51</v>
      </c>
      <c r="D17" s="3">
        <v>1000</v>
      </c>
      <c r="E17" s="3"/>
    </row>
    <row r="18" spans="2:5" x14ac:dyDescent="0.25">
      <c r="B18" t="s">
        <v>46</v>
      </c>
      <c r="C18" t="s">
        <v>52</v>
      </c>
      <c r="D18" s="3">
        <v>-2000</v>
      </c>
      <c r="E18" s="3"/>
    </row>
    <row r="19" spans="2:5" x14ac:dyDescent="0.25">
      <c r="B19" t="s">
        <v>43</v>
      </c>
      <c r="C19" t="s">
        <v>53</v>
      </c>
      <c r="D19" s="3">
        <v>2000</v>
      </c>
      <c r="E19" s="3"/>
    </row>
    <row r="20" spans="2:5" x14ac:dyDescent="0.25">
      <c r="B20" t="s">
        <v>43</v>
      </c>
      <c r="C20" t="s">
        <v>54</v>
      </c>
      <c r="D20" s="3">
        <v>1000</v>
      </c>
      <c r="E20" s="3"/>
    </row>
    <row r="21" spans="2:5" x14ac:dyDescent="0.25">
      <c r="B21" t="s">
        <v>46</v>
      </c>
      <c r="C21" s="65">
        <v>44427</v>
      </c>
      <c r="D21" s="3">
        <v>-5000</v>
      </c>
      <c r="E21" s="3"/>
    </row>
    <row r="22" spans="2:5" x14ac:dyDescent="0.25">
      <c r="B22" t="s">
        <v>43</v>
      </c>
      <c r="C22" s="65">
        <v>44428</v>
      </c>
      <c r="D22" s="3">
        <v>2000</v>
      </c>
      <c r="E22" s="3"/>
    </row>
    <row r="23" spans="2:5" x14ac:dyDescent="0.25">
      <c r="B23" t="s">
        <v>55</v>
      </c>
      <c r="C23" s="65">
        <v>44445</v>
      </c>
      <c r="D23" s="3">
        <v>30000</v>
      </c>
      <c r="E23" s="3"/>
    </row>
    <row r="24" spans="2:5" x14ac:dyDescent="0.25">
      <c r="B24" t="s">
        <v>56</v>
      </c>
      <c r="C24" s="65">
        <v>44445</v>
      </c>
      <c r="D24" s="3">
        <v>-30000</v>
      </c>
      <c r="E24" s="3"/>
    </row>
    <row r="25" spans="2:5" x14ac:dyDescent="0.25">
      <c r="B25" t="s">
        <v>43</v>
      </c>
      <c r="C25" s="65">
        <v>44451</v>
      </c>
      <c r="D25" s="3">
        <v>2000</v>
      </c>
      <c r="E25" s="3"/>
    </row>
    <row r="26" spans="2:5" x14ac:dyDescent="0.25">
      <c r="B26" t="s">
        <v>46</v>
      </c>
      <c r="C26" s="65">
        <v>44487</v>
      </c>
      <c r="D26" s="3">
        <v>-4000</v>
      </c>
      <c r="E26" s="3"/>
    </row>
    <row r="27" spans="2:5" x14ac:dyDescent="0.25">
      <c r="B27" t="s">
        <v>43</v>
      </c>
      <c r="C27" s="65">
        <v>44487</v>
      </c>
      <c r="D27" s="3">
        <v>4000</v>
      </c>
      <c r="E27" s="3"/>
    </row>
    <row r="28" spans="2:5" x14ac:dyDescent="0.25">
      <c r="B28" t="s">
        <v>43</v>
      </c>
      <c r="C28" s="65">
        <v>44518</v>
      </c>
      <c r="D28" s="3">
        <v>2500</v>
      </c>
      <c r="E28" s="3"/>
    </row>
    <row r="29" spans="2:5" x14ac:dyDescent="0.25">
      <c r="B29" t="s">
        <v>46</v>
      </c>
      <c r="C29" s="65">
        <v>44518</v>
      </c>
      <c r="D29" s="3">
        <v>-2500</v>
      </c>
      <c r="E29" s="3"/>
    </row>
    <row r="30" spans="2:5" x14ac:dyDescent="0.25">
      <c r="B30" t="s">
        <v>46</v>
      </c>
      <c r="C30" s="65">
        <v>44518</v>
      </c>
      <c r="D30" s="3">
        <v>-2500</v>
      </c>
      <c r="E30" s="3"/>
    </row>
    <row r="31" spans="2:5" x14ac:dyDescent="0.25">
      <c r="B31" t="s">
        <v>43</v>
      </c>
      <c r="C31" s="65">
        <v>44518</v>
      </c>
      <c r="D31" s="3">
        <v>1000</v>
      </c>
      <c r="E31" s="3"/>
    </row>
    <row r="32" spans="2:5" x14ac:dyDescent="0.25">
      <c r="B32" t="s">
        <v>57</v>
      </c>
      <c r="C32" s="65">
        <v>44558</v>
      </c>
      <c r="D32" s="3">
        <v>880</v>
      </c>
    </row>
    <row r="33" spans="2:4" x14ac:dyDescent="0.25">
      <c r="B33" t="s">
        <v>43</v>
      </c>
      <c r="C33" s="65">
        <v>44558</v>
      </c>
      <c r="D33" s="3">
        <v>2000</v>
      </c>
    </row>
    <row r="34" spans="2:4" x14ac:dyDescent="0.25">
      <c r="B34" t="s">
        <v>46</v>
      </c>
      <c r="C34" s="65">
        <v>44681</v>
      </c>
      <c r="D34" s="3">
        <v>-2000</v>
      </c>
    </row>
    <row r="35" spans="2:4" x14ac:dyDescent="0.25">
      <c r="B35" t="s">
        <v>46</v>
      </c>
      <c r="C35" s="65">
        <v>44697</v>
      </c>
      <c r="D35" s="3">
        <v>-1500</v>
      </c>
    </row>
    <row r="36" spans="2:4" x14ac:dyDescent="0.25">
      <c r="B36" t="s">
        <v>58</v>
      </c>
      <c r="C36" s="65">
        <v>44697</v>
      </c>
      <c r="D36" s="3">
        <v>500</v>
      </c>
    </row>
    <row r="37" spans="2:4" x14ac:dyDescent="0.25">
      <c r="B37" t="s">
        <v>43</v>
      </c>
      <c r="C37" s="65">
        <v>44736</v>
      </c>
      <c r="D37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CashFlow</vt:lpstr>
      <vt:lpstr>Sanja 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Hauser</dc:creator>
  <cp:lastModifiedBy>Marc Hauser</cp:lastModifiedBy>
  <dcterms:created xsi:type="dcterms:W3CDTF">2018-12-19T17:30:24Z</dcterms:created>
  <dcterms:modified xsi:type="dcterms:W3CDTF">2025-10-22T08:52:39Z</dcterms:modified>
</cp:coreProperties>
</file>